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MSEM\Spring 2025\Project Budgeting &amp; Finance MIE 645\Project - Boeing Co\"/>
    </mc:Choice>
  </mc:AlternateContent>
  <xr:revisionPtr revIDLastSave="0" documentId="13_ncr:1_{24EDA4EA-E2FC-40D1-B333-F9C12EB93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ssumptions" sheetId="2" r:id="rId2"/>
    <sheet name="Depreciation Rate (MACRS)" sheetId="5" r:id="rId3"/>
    <sheet name="Charleston, SC" sheetId="3" r:id="rId4"/>
    <sheet name="Wichita, KS" sheetId="4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B32" i="4"/>
  <c r="F31" i="4"/>
  <c r="B31" i="4"/>
  <c r="G31" i="4" s="1"/>
  <c r="H31" i="4" s="1"/>
  <c r="F30" i="4"/>
  <c r="B30" i="4"/>
  <c r="F29" i="4"/>
  <c r="B29" i="4"/>
  <c r="F28" i="4"/>
  <c r="B28" i="4"/>
  <c r="F27" i="4"/>
  <c r="B27" i="4"/>
  <c r="F26" i="4"/>
  <c r="B26" i="4"/>
  <c r="G26" i="4" s="1"/>
  <c r="H26" i="4" s="1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G19" i="4" s="1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F6" i="4"/>
  <c r="B6" i="4"/>
  <c r="G6" i="4" s="1"/>
  <c r="H6" i="4" s="1"/>
  <c r="F5" i="4"/>
  <c r="B5" i="4"/>
  <c r="F4" i="4"/>
  <c r="B4" i="4"/>
  <c r="F3" i="4"/>
  <c r="B3" i="4"/>
  <c r="G3" i="4" s="1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G24" i="3" s="1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G17" i="3" s="1"/>
  <c r="F16" i="3"/>
  <c r="B16" i="3"/>
  <c r="F15" i="3"/>
  <c r="B15" i="3"/>
  <c r="G15" i="3" s="1"/>
  <c r="H15" i="3" s="1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G8" i="3" s="1"/>
  <c r="F7" i="3"/>
  <c r="B7" i="3"/>
  <c r="F6" i="3"/>
  <c r="B6" i="3"/>
  <c r="F5" i="3"/>
  <c r="B5" i="3"/>
  <c r="F4" i="3"/>
  <c r="B4" i="3"/>
  <c r="F3" i="3"/>
  <c r="B3" i="3"/>
  <c r="G29" i="3" l="1"/>
  <c r="G32" i="4"/>
  <c r="G28" i="4"/>
  <c r="H28" i="4" s="1"/>
  <c r="G13" i="4"/>
  <c r="G16" i="3"/>
  <c r="G30" i="3"/>
  <c r="G18" i="3"/>
  <c r="H18" i="3" s="1"/>
  <c r="I18" i="3" s="1"/>
  <c r="J18" i="3" s="1"/>
  <c r="G29" i="4"/>
  <c r="G31" i="3"/>
  <c r="G30" i="4"/>
  <c r="G3" i="3"/>
  <c r="H3" i="3" s="1"/>
  <c r="G32" i="3"/>
  <c r="H32" i="3" s="1"/>
  <c r="I32" i="3" s="1"/>
  <c r="J32" i="3" s="1"/>
  <c r="G17" i="4"/>
  <c r="H17" i="4" s="1"/>
  <c r="I17" i="4" s="1"/>
  <c r="J17" i="4" s="1"/>
  <c r="G14" i="4"/>
  <c r="H14" i="4" s="1"/>
  <c r="I14" i="4" s="1"/>
  <c r="J14" i="4" s="1"/>
  <c r="G15" i="4"/>
  <c r="H15" i="4" s="1"/>
  <c r="G4" i="3"/>
  <c r="H4" i="3" s="1"/>
  <c r="I4" i="3" s="1"/>
  <c r="J4" i="3" s="1"/>
  <c r="G19" i="3"/>
  <c r="H19" i="3" s="1"/>
  <c r="I19" i="3" s="1"/>
  <c r="J19" i="3" s="1"/>
  <c r="H3" i="4"/>
  <c r="I3" i="4" s="1"/>
  <c r="J3" i="4" s="1"/>
  <c r="K3" i="4" s="1"/>
  <c r="G20" i="3"/>
  <c r="H20" i="3" s="1"/>
  <c r="I20" i="3" s="1"/>
  <c r="J20" i="3" s="1"/>
  <c r="G18" i="4"/>
  <c r="H18" i="4" s="1"/>
  <c r="I18" i="4" s="1"/>
  <c r="J18" i="4" s="1"/>
  <c r="G6" i="3"/>
  <c r="H6" i="3" s="1"/>
  <c r="I6" i="3" s="1"/>
  <c r="J6" i="3" s="1"/>
  <c r="G21" i="3"/>
  <c r="H21" i="3" s="1"/>
  <c r="I21" i="3" s="1"/>
  <c r="J21" i="3" s="1"/>
  <c r="G7" i="3"/>
  <c r="H7" i="3" s="1"/>
  <c r="I7" i="3" s="1"/>
  <c r="J7" i="3" s="1"/>
  <c r="G22" i="3"/>
  <c r="H22" i="3" s="1"/>
  <c r="G5" i="4"/>
  <c r="H5" i="4" s="1"/>
  <c r="G20" i="4"/>
  <c r="H20" i="4" s="1"/>
  <c r="G23" i="3"/>
  <c r="H23" i="3" s="1"/>
  <c r="I23" i="3" s="1"/>
  <c r="J23" i="3" s="1"/>
  <c r="G21" i="4"/>
  <c r="G9" i="3"/>
  <c r="H9" i="3" s="1"/>
  <c r="I9" i="3" s="1"/>
  <c r="J9" i="3" s="1"/>
  <c r="G22" i="4"/>
  <c r="H22" i="4" s="1"/>
  <c r="I22" i="4" s="1"/>
  <c r="J22" i="4" s="1"/>
  <c r="G10" i="3"/>
  <c r="H10" i="3" s="1"/>
  <c r="G25" i="3"/>
  <c r="H25" i="3" s="1"/>
  <c r="I25" i="3" s="1"/>
  <c r="J25" i="3" s="1"/>
  <c r="G23" i="4"/>
  <c r="H23" i="4" s="1"/>
  <c r="I23" i="4" s="1"/>
  <c r="J23" i="4" s="1"/>
  <c r="G8" i="4"/>
  <c r="H8" i="4" s="1"/>
  <c r="I8" i="4" s="1"/>
  <c r="J8" i="4" s="1"/>
  <c r="G26" i="3"/>
  <c r="G24" i="4"/>
  <c r="G12" i="3"/>
  <c r="G9" i="4"/>
  <c r="H9" i="4" s="1"/>
  <c r="I9" i="4" s="1"/>
  <c r="J9" i="4" s="1"/>
  <c r="G25" i="4"/>
  <c r="G13" i="3"/>
  <c r="G10" i="4"/>
  <c r="G27" i="3"/>
  <c r="G11" i="4"/>
  <c r="G28" i="3"/>
  <c r="H28" i="3" s="1"/>
  <c r="I28" i="3" s="1"/>
  <c r="J28" i="3" s="1"/>
  <c r="G12" i="4"/>
  <c r="H12" i="4" s="1"/>
  <c r="G27" i="4"/>
  <c r="H27" i="4" s="1"/>
  <c r="I27" i="4" s="1"/>
  <c r="J27" i="4" s="1"/>
  <c r="H13" i="3"/>
  <c r="I13" i="3"/>
  <c r="J13" i="3" s="1"/>
  <c r="H10" i="4"/>
  <c r="I10" i="4" s="1"/>
  <c r="J10" i="4" s="1"/>
  <c r="H11" i="4"/>
  <c r="I11" i="4"/>
  <c r="J11" i="4" s="1"/>
  <c r="H29" i="3"/>
  <c r="I29" i="3" s="1"/>
  <c r="J29" i="3" s="1"/>
  <c r="H24" i="4"/>
  <c r="I24" i="4" s="1"/>
  <c r="J24" i="4" s="1"/>
  <c r="H27" i="3"/>
  <c r="I27" i="3"/>
  <c r="J27" i="3" s="1"/>
  <c r="H25" i="4"/>
  <c r="I25" i="4"/>
  <c r="J25" i="4" s="1"/>
  <c r="H29" i="4"/>
  <c r="I29" i="4"/>
  <c r="J29" i="4" s="1"/>
  <c r="H31" i="3"/>
  <c r="I31" i="3"/>
  <c r="J31" i="3" s="1"/>
  <c r="G14" i="3"/>
  <c r="G5" i="3"/>
  <c r="G4" i="4"/>
  <c r="I26" i="4"/>
  <c r="J26" i="4" s="1"/>
  <c r="I15" i="3"/>
  <c r="J15" i="3" s="1"/>
  <c r="H19" i="4"/>
  <c r="I19" i="4" s="1"/>
  <c r="J19" i="4" s="1"/>
  <c r="H8" i="3"/>
  <c r="I8" i="3" s="1"/>
  <c r="J8" i="3" s="1"/>
  <c r="I6" i="4"/>
  <c r="J6" i="4" s="1"/>
  <c r="G7" i="4"/>
  <c r="G16" i="4"/>
  <c r="G11" i="3"/>
  <c r="H16" i="3"/>
  <c r="I16" i="3" s="1"/>
  <c r="J16" i="3" s="1"/>
  <c r="H17" i="3"/>
  <c r="I17" i="3" s="1"/>
  <c r="J17" i="3" s="1"/>
  <c r="H24" i="3"/>
  <c r="I24" i="3" s="1"/>
  <c r="J24" i="3" s="1"/>
  <c r="H30" i="4"/>
  <c r="I30" i="4" s="1"/>
  <c r="J30" i="4" s="1"/>
  <c r="I31" i="4"/>
  <c r="J31" i="4" s="1"/>
  <c r="H13" i="4"/>
  <c r="I13" i="4" s="1"/>
  <c r="J13" i="4" s="1"/>
  <c r="H12" i="3"/>
  <c r="I12" i="3" s="1"/>
  <c r="J12" i="3" s="1"/>
  <c r="H30" i="3"/>
  <c r="I30" i="3" s="1"/>
  <c r="J30" i="3" s="1"/>
  <c r="H32" i="4"/>
  <c r="I32" i="4" s="1"/>
  <c r="J32" i="4" s="1"/>
  <c r="I22" i="3" l="1"/>
  <c r="J22" i="3" s="1"/>
  <c r="I28" i="4"/>
  <c r="J28" i="4" s="1"/>
  <c r="I15" i="4"/>
  <c r="J15" i="4" s="1"/>
  <c r="H26" i="3"/>
  <c r="I26" i="3" s="1"/>
  <c r="J26" i="3" s="1"/>
  <c r="H21" i="4"/>
  <c r="I21" i="4" s="1"/>
  <c r="J21" i="4" s="1"/>
  <c r="I20" i="4"/>
  <c r="J20" i="4" s="1"/>
  <c r="I5" i="4"/>
  <c r="J5" i="4" s="1"/>
  <c r="I10" i="3"/>
  <c r="J10" i="3" s="1"/>
  <c r="I3" i="3"/>
  <c r="J3" i="3" s="1"/>
  <c r="K3" i="3" s="1"/>
  <c r="I12" i="4"/>
  <c r="J12" i="4" s="1"/>
  <c r="H11" i="3"/>
  <c r="I11" i="3" s="1"/>
  <c r="J11" i="3" s="1"/>
  <c r="H16" i="4"/>
  <c r="I16" i="4" s="1"/>
  <c r="J16" i="4" s="1"/>
  <c r="H4" i="4"/>
  <c r="I4" i="4" s="1"/>
  <c r="J4" i="4" s="1"/>
  <c r="H5" i="3"/>
  <c r="I5" i="3"/>
  <c r="J5" i="3" s="1"/>
  <c r="K4" i="3"/>
  <c r="H14" i="3"/>
  <c r="I14" i="3" s="1"/>
  <c r="J14" i="3" s="1"/>
  <c r="H7" i="4"/>
  <c r="I7" i="4" s="1"/>
  <c r="J7" i="4" s="1"/>
  <c r="K5" i="3" l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D2" i="1"/>
  <c r="B2" i="1"/>
  <c r="C2" i="1"/>
  <c r="B3" i="1"/>
  <c r="K4" i="4"/>
  <c r="D3" i="1"/>
  <c r="C3" i="1"/>
  <c r="K5" i="4" l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</calcChain>
</file>

<file path=xl/sharedStrings.xml><?xml version="1.0" encoding="utf-8"?>
<sst xmlns="http://schemas.openxmlformats.org/spreadsheetml/2006/main" count="54" uniqueCount="39">
  <si>
    <t>Location</t>
  </si>
  <si>
    <t>IRR (%)</t>
  </si>
  <si>
    <t>NPV ($)</t>
  </si>
  <si>
    <t>Annual Worth ($)</t>
  </si>
  <si>
    <t>Payback Period (Years)</t>
  </si>
  <si>
    <t>Charleston</t>
  </si>
  <si>
    <t>Wichita</t>
  </si>
  <si>
    <t>Labor Cost per Employee</t>
  </si>
  <si>
    <t>Labor Force</t>
  </si>
  <si>
    <t>Total Labor Cost ($)</t>
  </si>
  <si>
    <t>O&amp;M Cost ($)</t>
  </si>
  <si>
    <t>Tax Rate</t>
  </si>
  <si>
    <t>Facility Size (sq ft)</t>
  </si>
  <si>
    <t>1.5 million</t>
  </si>
  <si>
    <t>Year</t>
  </si>
  <si>
    <t>Depreciation</t>
  </si>
  <si>
    <t>Revenue</t>
  </si>
  <si>
    <t>Labor Cost</t>
  </si>
  <si>
    <t>O&amp;M Cost</t>
  </si>
  <si>
    <t>EBIT</t>
  </si>
  <si>
    <t>Taxable Income</t>
  </si>
  <si>
    <t>Tax</t>
  </si>
  <si>
    <t>Net Income</t>
  </si>
  <si>
    <t>CFAT</t>
  </si>
  <si>
    <t>Cumulative CFAT</t>
  </si>
  <si>
    <t>Depreciation Method</t>
  </si>
  <si>
    <t>MACRS 39-year</t>
  </si>
  <si>
    <t>Project Life</t>
  </si>
  <si>
    <t>30 Years</t>
  </si>
  <si>
    <t>Charleston, SC</t>
  </si>
  <si>
    <t>Wichita, KS</t>
  </si>
  <si>
    <t>Assumptions</t>
  </si>
  <si>
    <t xml:space="preserve">Annual Revenue ($)  (Projected Revenue = 0.9% of $77.8B) </t>
  </si>
  <si>
    <t xml:space="preserve">MARR </t>
  </si>
  <si>
    <t>MACRS %</t>
  </si>
  <si>
    <t>Estimated CAPEX ($) - Facility Construction, Setup and Miscellaneous Cost</t>
  </si>
  <si>
    <r>
      <rPr>
        <b/>
        <sz val="11"/>
        <color theme="1"/>
        <rFont val="Calibri"/>
        <family val="2"/>
        <scheme val="minor"/>
      </rPr>
      <t>Recommendation</t>
    </r>
    <r>
      <rPr>
        <sz val="11"/>
        <color theme="1"/>
        <rFont val="Calibri"/>
        <family val="2"/>
        <scheme val="minor"/>
      </rPr>
      <t>: Among the 2 recommended locations, Wichita, Kansas would be the better option to start a new facility for Boeing Company</t>
    </r>
  </si>
  <si>
    <t xml:space="preserve">Workbook uploaded in Google Sheets for easy access. </t>
  </si>
  <si>
    <t>Workbook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</si>
</sst>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Charleston, SC - CFAT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Charleston, SC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5</c:v>
              </c:pt>
              <c:pt idx="1">
                <c:v>10</c:v>
              </c:pt>
              <c:pt idx="2">
                <c:v>15</c:v>
              </c:pt>
              <c:pt idx="3">
                <c:v>20</c:v>
              </c:pt>
              <c:pt idx="4">
                <c:v>25</c:v>
              </c:pt>
              <c:pt idx="5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'Charleston, SC'!$K$2:$K$32</c15:sqref>
                  </c15:fullRef>
                </c:ext>
              </c:extLst>
              <c:f>('Charleston, SC'!$K$6,'Charleston, SC'!$K$11,'Charleston, SC'!$K$16,'Charleston, SC'!$K$21,'Charleston, SC'!$K$26,'Charleston, SC'!$K$31)</c:f>
              <c:numCache>
                <c:formatCode>General</c:formatCode>
                <c:ptCount val="6"/>
                <c:pt idx="0">
                  <c:v>-120936188</c:v>
                </c:pt>
                <c:pt idx="1">
                  <c:v>-68364357</c:v>
                </c:pt>
                <c:pt idx="2">
                  <c:v>-18193639</c:v>
                </c:pt>
                <c:pt idx="3">
                  <c:v>29931178</c:v>
                </c:pt>
                <c:pt idx="4">
                  <c:v>76358871</c:v>
                </c:pt>
                <c:pt idx="5">
                  <c:v>121435214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6-4C21-A58C-09FD7310A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8929647"/>
        <c:axId val="328935887"/>
      </c:lineChart>
      <c:catAx>
        <c:axId val="32892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35887"/>
        <c:crosses val="autoZero"/>
        <c:auto val="1"/>
        <c:lblAlgn val="ctr"/>
        <c:lblOffset val="100"/>
        <c:noMultiLvlLbl val="0"/>
      </c:catAx>
      <c:valAx>
        <c:axId val="32893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CFAT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296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Wichita, KS - CFAT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Wichita, KS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2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10</c:v>
              </c:pt>
              <c:pt idx="5">
                <c:v>12</c:v>
              </c:pt>
              <c:pt idx="6">
                <c:v>14</c:v>
              </c:pt>
              <c:pt idx="7">
                <c:v>16</c:v>
              </c:pt>
              <c:pt idx="8">
                <c:v>18</c:v>
              </c:pt>
              <c:pt idx="9">
                <c:v>20</c:v>
              </c:pt>
              <c:pt idx="10">
                <c:v>22</c:v>
              </c:pt>
              <c:pt idx="11">
                <c:v>24</c:v>
              </c:pt>
              <c:pt idx="12">
                <c:v>26</c:v>
              </c:pt>
              <c:pt idx="13">
                <c:v>28</c:v>
              </c:pt>
              <c:pt idx="14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'Wichita, KS'!$K$2:$K$32</c15:sqref>
                  </c15:fullRef>
                </c:ext>
              </c:extLst>
              <c:f>('Wichita, KS'!$K$3,'Wichita, KS'!$K$5,'Wichita, KS'!$K$7,'Wichita, KS'!$K$9,'Wichita, KS'!$K$11,'Wichita, KS'!$K$13,'Wichita, KS'!$K$15,'Wichita, KS'!$K$17,'Wichita, KS'!$K$19,'Wichita, KS'!$K$21,'Wichita, KS'!$K$23,'Wichita, KS'!$K$25,'Wichita, KS'!$K$27,'Wichita, KS'!$K$29,'Wichita, KS'!$K$31)</c:f>
              <c:numCache>
                <c:formatCode>General</c:formatCode>
                <c:ptCount val="15"/>
                <c:pt idx="0">
                  <c:v>-122532137.5</c:v>
                </c:pt>
                <c:pt idx="1">
                  <c:v>-47986637.5</c:v>
                </c:pt>
                <c:pt idx="2">
                  <c:v>26117900</c:v>
                </c:pt>
                <c:pt idx="3">
                  <c:v>99807875</c:v>
                </c:pt>
                <c:pt idx="4">
                  <c:v>173106387.5</c:v>
                </c:pt>
                <c:pt idx="5">
                  <c:v>246035300</c:v>
                </c:pt>
                <c:pt idx="6">
                  <c:v>318617300</c:v>
                </c:pt>
                <c:pt idx="7">
                  <c:v>390873837.5</c:v>
                </c:pt>
                <c:pt idx="8">
                  <c:v>462826362.5</c:v>
                </c:pt>
                <c:pt idx="9">
                  <c:v>534496325</c:v>
                </c:pt>
                <c:pt idx="10">
                  <c:v>605905175</c:v>
                </c:pt>
                <c:pt idx="11">
                  <c:v>677074362.5</c:v>
                </c:pt>
                <c:pt idx="12">
                  <c:v>748025337.5</c:v>
                </c:pt>
                <c:pt idx="13">
                  <c:v>818778725</c:v>
                </c:pt>
                <c:pt idx="14">
                  <c:v>889355975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5-4C68-A8AF-446147B8037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8929647"/>
        <c:axId val="328935887"/>
      </c:lineChart>
      <c:catAx>
        <c:axId val="32892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35887"/>
        <c:crosses val="autoZero"/>
        <c:auto val="1"/>
        <c:lblAlgn val="ctr"/>
        <c:lblOffset val="100"/>
        <c:noMultiLvlLbl val="0"/>
      </c:catAx>
      <c:valAx>
        <c:axId val="32893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CFAT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296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8</xdr:row>
      <xdr:rowOff>34290</xdr:rowOff>
    </xdr:from>
    <xdr:to>
      <xdr:col>16</xdr:col>
      <xdr:colOff>266700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F4BF1-A8A4-1487-6C97-70E84D1C5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411480</xdr:colOff>
      <xdr:row>8</xdr:row>
      <xdr:rowOff>30480</xdr:rowOff>
    </xdr:from>
    <xdr:to>
      <xdr:col>6</xdr:col>
      <xdr:colOff>220980</xdr:colOff>
      <xdr:row>23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AF0AA-F304-4882-B802-82F872EA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24</xdr:row>
      <xdr:rowOff>7620</xdr:rowOff>
    </xdr:from>
    <xdr:to>
      <xdr:col>8</xdr:col>
      <xdr:colOff>50647</xdr:colOff>
      <xdr:row>41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A781A2-5AB0-3466-D562-EA705E6A7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4396740"/>
          <a:ext cx="5148427" cy="3185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4VrD3FQSNIKwZ_lu5tcQ-nYRoi6_0cBP/edit?usp=sharing&amp;ouid=11112315907002273815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K34" sqref="K34"/>
    </sheetView>
  </sheetViews>
  <sheetFormatPr defaultRowHeight="14.4" x14ac:dyDescent="0.3"/>
  <cols>
    <col min="1" max="1" width="10.21875" customWidth="1"/>
    <col min="3" max="3" width="12.21875" customWidth="1"/>
    <col min="4" max="4" width="15.4414062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2">
        <f>IRR('Charleston, SC'!J2:J32)*100</f>
        <v>4.4779604321398381</v>
      </c>
      <c r="C2" s="2">
        <f>NPV(0.1,'Charleston, SC'!J2:J32)</f>
        <v>-61121811.889026754</v>
      </c>
      <c r="D2" s="2">
        <f>NPV(0.1,'Charleston, SC'!J2:J32)*(0.1*(1+0.1)^30)/((1+0.1)^30-1)</f>
        <v>-6483755.8570268592</v>
      </c>
      <c r="E2" s="2">
        <v>16</v>
      </c>
    </row>
    <row r="3" spans="1:5" x14ac:dyDescent="0.3">
      <c r="A3" s="9" t="s">
        <v>6</v>
      </c>
      <c r="B3" s="10">
        <f>IRR('Wichita, KS'!J2:J32)*100</f>
        <v>23.083105971827344</v>
      </c>
      <c r="C3" s="10">
        <f>NPV(0.1,'Wichita, KS'!J2:J32)</f>
        <v>168715050.65850621</v>
      </c>
      <c r="D3" s="10">
        <f>NPV(0.1,'Wichita, KS'!J2:J32)*(0.1*(1+0.1)^30)/((1+0.1)^30-1)</f>
        <v>17897165.742759384</v>
      </c>
      <c r="E3" s="10">
        <v>5</v>
      </c>
    </row>
    <row r="6" spans="1:5" x14ac:dyDescent="0.3">
      <c r="A6" t="s">
        <v>36</v>
      </c>
    </row>
    <row r="7" spans="1:5" x14ac:dyDescent="0.3">
      <c r="A7" t="s">
        <v>37</v>
      </c>
    </row>
    <row r="8" spans="1:5" x14ac:dyDescent="0.3">
      <c r="A8" s="12" t="s">
        <v>38</v>
      </c>
    </row>
  </sheetData>
  <hyperlinks>
    <hyperlink ref="A8" r:id="rId1" xr:uid="{9F6E31B1-2568-402C-91BB-25C04A457656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18" sqref="A18"/>
    </sheetView>
  </sheetViews>
  <sheetFormatPr defaultRowHeight="14.4" x14ac:dyDescent="0.3"/>
  <cols>
    <col min="1" max="1" width="60.77734375" customWidth="1"/>
    <col min="2" max="2" width="18.33203125" customWidth="1"/>
    <col min="3" max="3" width="16.44140625" customWidth="1"/>
  </cols>
  <sheetData>
    <row r="1" spans="1:3" x14ac:dyDescent="0.3">
      <c r="A1" s="6" t="s">
        <v>31</v>
      </c>
      <c r="B1" s="6" t="s">
        <v>29</v>
      </c>
      <c r="C1" s="6" t="s">
        <v>30</v>
      </c>
    </row>
    <row r="2" spans="1:3" x14ac:dyDescent="0.3">
      <c r="A2" s="2" t="s">
        <v>35</v>
      </c>
      <c r="B2" s="2">
        <v>165000000</v>
      </c>
      <c r="C2" s="2">
        <v>160000000</v>
      </c>
    </row>
    <row r="3" spans="1:3" x14ac:dyDescent="0.3">
      <c r="A3" s="2" t="s">
        <v>32</v>
      </c>
      <c r="B3" s="2">
        <v>693000000</v>
      </c>
      <c r="C3" s="2">
        <v>693000000</v>
      </c>
    </row>
    <row r="4" spans="1:3" x14ac:dyDescent="0.3">
      <c r="A4" s="2" t="s">
        <v>7</v>
      </c>
      <c r="B4" s="2">
        <v>85000</v>
      </c>
      <c r="C4" s="2">
        <v>80000</v>
      </c>
    </row>
    <row r="5" spans="1:3" x14ac:dyDescent="0.3">
      <c r="A5" s="2" t="s">
        <v>8</v>
      </c>
      <c r="B5" s="2">
        <v>7000</v>
      </c>
      <c r="C5" s="2">
        <v>7000</v>
      </c>
    </row>
    <row r="6" spans="1:3" x14ac:dyDescent="0.3">
      <c r="A6" s="2" t="s">
        <v>9</v>
      </c>
      <c r="B6" s="2">
        <v>595000000</v>
      </c>
      <c r="C6" s="2">
        <v>560000000</v>
      </c>
    </row>
    <row r="7" spans="1:3" x14ac:dyDescent="0.3">
      <c r="A7" s="2" t="s">
        <v>10</v>
      </c>
      <c r="B7" s="2">
        <v>86625000</v>
      </c>
      <c r="C7" s="2">
        <v>86625000</v>
      </c>
    </row>
    <row r="8" spans="1:3" x14ac:dyDescent="0.3">
      <c r="A8" s="2" t="s">
        <v>11</v>
      </c>
      <c r="B8" s="4">
        <v>0.26</v>
      </c>
      <c r="C8" s="4">
        <v>0.25</v>
      </c>
    </row>
    <row r="9" spans="1:3" x14ac:dyDescent="0.3">
      <c r="A9" s="2" t="s">
        <v>12</v>
      </c>
      <c r="B9" s="5" t="s">
        <v>13</v>
      </c>
      <c r="C9" s="5" t="s">
        <v>13</v>
      </c>
    </row>
    <row r="10" spans="1:3" x14ac:dyDescent="0.3">
      <c r="A10" s="2" t="s">
        <v>25</v>
      </c>
      <c r="B10" s="5" t="s">
        <v>26</v>
      </c>
      <c r="C10" s="5" t="s">
        <v>26</v>
      </c>
    </row>
    <row r="11" spans="1:3" x14ac:dyDescent="0.3">
      <c r="A11" s="2" t="s">
        <v>27</v>
      </c>
      <c r="B11" s="5" t="s">
        <v>28</v>
      </c>
      <c r="C11" s="5" t="s">
        <v>28</v>
      </c>
    </row>
    <row r="12" spans="1:3" x14ac:dyDescent="0.3">
      <c r="A12" s="8" t="s">
        <v>33</v>
      </c>
      <c r="B12" s="4">
        <v>0.1</v>
      </c>
      <c r="C12" s="4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DB36-F6D2-458C-8455-7B2D3C6F82EF}">
  <dimension ref="A1:B40"/>
  <sheetViews>
    <sheetView workbookViewId="0">
      <selection activeCell="D4" sqref="D4"/>
    </sheetView>
  </sheetViews>
  <sheetFormatPr defaultRowHeight="14.4" x14ac:dyDescent="0.3"/>
  <sheetData>
    <row r="1" spans="1:2" x14ac:dyDescent="0.3">
      <c r="A1" s="11" t="s">
        <v>14</v>
      </c>
      <c r="B1" s="11" t="s">
        <v>34</v>
      </c>
    </row>
    <row r="2" spans="1:2" x14ac:dyDescent="0.3">
      <c r="A2" s="11">
        <v>1</v>
      </c>
      <c r="B2" s="2">
        <v>2.564E-2</v>
      </c>
    </row>
    <row r="3" spans="1:2" x14ac:dyDescent="0.3">
      <c r="A3" s="11">
        <v>2</v>
      </c>
      <c r="B3" s="2">
        <v>6.5129999999999993E-2</v>
      </c>
    </row>
    <row r="4" spans="1:2" x14ac:dyDescent="0.3">
      <c r="A4" s="11">
        <v>3</v>
      </c>
      <c r="B4" s="2">
        <v>6.1789999999999998E-2</v>
      </c>
    </row>
    <row r="5" spans="1:2" x14ac:dyDescent="0.3">
      <c r="A5" s="11">
        <v>4</v>
      </c>
      <c r="B5" s="2">
        <v>5.901E-2</v>
      </c>
    </row>
    <row r="6" spans="1:2" x14ac:dyDescent="0.3">
      <c r="A6" s="11">
        <v>5</v>
      </c>
      <c r="B6" s="2">
        <v>5.6349999999999997E-2</v>
      </c>
    </row>
    <row r="7" spans="1:2" x14ac:dyDescent="0.3">
      <c r="A7" s="11">
        <v>6</v>
      </c>
      <c r="B7" s="2">
        <v>5.3760000000000002E-2</v>
      </c>
    </row>
    <row r="8" spans="1:2" x14ac:dyDescent="0.3">
      <c r="A8" s="11">
        <v>7</v>
      </c>
      <c r="B8" s="2">
        <v>5.1249999999999997E-2</v>
      </c>
    </row>
    <row r="9" spans="1:2" x14ac:dyDescent="0.3">
      <c r="A9" s="11">
        <v>8</v>
      </c>
      <c r="B9" s="2">
        <v>4.8809999999999999E-2</v>
      </c>
    </row>
    <row r="10" spans="1:2" x14ac:dyDescent="0.3">
      <c r="A10" s="11">
        <v>9</v>
      </c>
      <c r="B10" s="2">
        <v>4.6440000000000002E-2</v>
      </c>
    </row>
    <row r="11" spans="1:2" x14ac:dyDescent="0.3">
      <c r="A11" s="11">
        <v>10</v>
      </c>
      <c r="B11" s="2">
        <v>4.4130000000000003E-2</v>
      </c>
    </row>
    <row r="12" spans="1:2" x14ac:dyDescent="0.3">
      <c r="A12" s="11">
        <v>11</v>
      </c>
      <c r="B12" s="2">
        <v>4.1889999999999997E-2</v>
      </c>
    </row>
    <row r="13" spans="1:2" x14ac:dyDescent="0.3">
      <c r="A13" s="11">
        <v>12</v>
      </c>
      <c r="B13" s="2">
        <v>3.9719999999999998E-2</v>
      </c>
    </row>
    <row r="14" spans="1:2" x14ac:dyDescent="0.3">
      <c r="A14" s="11">
        <v>13</v>
      </c>
      <c r="B14" s="2">
        <v>3.7620000000000001E-2</v>
      </c>
    </row>
    <row r="15" spans="1:2" x14ac:dyDescent="0.3">
      <c r="A15" s="11">
        <v>14</v>
      </c>
      <c r="B15" s="2">
        <v>3.5580000000000001E-2</v>
      </c>
    </row>
    <row r="16" spans="1:2" x14ac:dyDescent="0.3">
      <c r="A16" s="11">
        <v>15</v>
      </c>
      <c r="B16" s="2">
        <v>3.3610000000000001E-2</v>
      </c>
    </row>
    <row r="17" spans="1:2" x14ac:dyDescent="0.3">
      <c r="A17" s="11">
        <v>16</v>
      </c>
      <c r="B17" s="2">
        <v>3.1699999999999999E-2</v>
      </c>
    </row>
    <row r="18" spans="1:2" x14ac:dyDescent="0.3">
      <c r="A18" s="11">
        <v>17</v>
      </c>
      <c r="B18" s="2">
        <v>2.9860000000000001E-2</v>
      </c>
    </row>
    <row r="19" spans="1:2" x14ac:dyDescent="0.3">
      <c r="A19" s="11">
        <v>18</v>
      </c>
      <c r="B19" s="2">
        <v>2.8080000000000001E-2</v>
      </c>
    </row>
    <row r="20" spans="1:2" x14ac:dyDescent="0.3">
      <c r="A20" s="11">
        <v>19</v>
      </c>
      <c r="B20" s="2">
        <v>2.6370000000000001E-2</v>
      </c>
    </row>
    <row r="21" spans="1:2" x14ac:dyDescent="0.3">
      <c r="A21" s="11">
        <v>20</v>
      </c>
      <c r="B21" s="2">
        <v>2.4719999999999999E-2</v>
      </c>
    </row>
    <row r="22" spans="1:2" x14ac:dyDescent="0.3">
      <c r="A22" s="11">
        <v>21</v>
      </c>
      <c r="B22" s="2">
        <v>2.3140000000000001E-2</v>
      </c>
    </row>
    <row r="23" spans="1:2" x14ac:dyDescent="0.3">
      <c r="A23" s="11">
        <v>22</v>
      </c>
      <c r="B23" s="2">
        <v>2.162E-2</v>
      </c>
    </row>
    <row r="24" spans="1:2" x14ac:dyDescent="0.3">
      <c r="A24" s="11">
        <v>23</v>
      </c>
      <c r="B24" s="2">
        <v>2.017E-2</v>
      </c>
    </row>
    <row r="25" spans="1:2" x14ac:dyDescent="0.3">
      <c r="A25" s="11">
        <v>24</v>
      </c>
      <c r="B25" s="2">
        <v>1.8780000000000002E-2</v>
      </c>
    </row>
    <row r="26" spans="1:2" x14ac:dyDescent="0.3">
      <c r="A26" s="11">
        <v>25</v>
      </c>
      <c r="B26" s="2">
        <v>1.746E-2</v>
      </c>
    </row>
    <row r="27" spans="1:2" x14ac:dyDescent="0.3">
      <c r="A27" s="11">
        <v>26</v>
      </c>
      <c r="B27" s="2">
        <v>1.6199999999999999E-2</v>
      </c>
    </row>
    <row r="28" spans="1:2" x14ac:dyDescent="0.3">
      <c r="A28" s="11">
        <v>27</v>
      </c>
      <c r="B28" s="2">
        <v>1.4999999999999999E-2</v>
      </c>
    </row>
    <row r="29" spans="1:2" x14ac:dyDescent="0.3">
      <c r="A29" s="11">
        <v>28</v>
      </c>
      <c r="B29" s="2">
        <v>1.387E-2</v>
      </c>
    </row>
    <row r="30" spans="1:2" x14ac:dyDescent="0.3">
      <c r="A30" s="11">
        <v>29</v>
      </c>
      <c r="B30" s="2">
        <v>1.2800000000000001E-2</v>
      </c>
    </row>
    <row r="31" spans="1:2" x14ac:dyDescent="0.3">
      <c r="A31" s="11">
        <v>30</v>
      </c>
      <c r="B31" s="2">
        <v>1.18E-2</v>
      </c>
    </row>
    <row r="32" spans="1:2" x14ac:dyDescent="0.3">
      <c r="A32" s="11">
        <v>31</v>
      </c>
      <c r="B32" s="2">
        <v>1.086E-2</v>
      </c>
    </row>
    <row r="33" spans="1:2" x14ac:dyDescent="0.3">
      <c r="A33" s="11">
        <v>32</v>
      </c>
      <c r="B33" s="2">
        <v>9.9799999999999993E-3</v>
      </c>
    </row>
    <row r="34" spans="1:2" x14ac:dyDescent="0.3">
      <c r="A34" s="11">
        <v>33</v>
      </c>
      <c r="B34" s="2">
        <v>9.1599999999999997E-3</v>
      </c>
    </row>
    <row r="35" spans="1:2" x14ac:dyDescent="0.3">
      <c r="A35" s="11">
        <v>34</v>
      </c>
      <c r="B35" s="2">
        <v>8.3999999999999995E-3</v>
      </c>
    </row>
    <row r="36" spans="1:2" x14ac:dyDescent="0.3">
      <c r="A36" s="11">
        <v>35</v>
      </c>
      <c r="B36" s="2">
        <v>7.7000000000000002E-3</v>
      </c>
    </row>
    <row r="37" spans="1:2" x14ac:dyDescent="0.3">
      <c r="A37" s="11">
        <v>36</v>
      </c>
      <c r="B37" s="2">
        <v>7.0600000000000003E-3</v>
      </c>
    </row>
    <row r="38" spans="1:2" x14ac:dyDescent="0.3">
      <c r="A38" s="11">
        <v>37</v>
      </c>
      <c r="B38" s="2">
        <v>6.4799999999999996E-3</v>
      </c>
    </row>
    <row r="39" spans="1:2" x14ac:dyDescent="0.3">
      <c r="A39" s="11">
        <v>38</v>
      </c>
      <c r="B39" s="2">
        <v>5.9500000000000004E-3</v>
      </c>
    </row>
    <row r="40" spans="1:2" x14ac:dyDescent="0.3">
      <c r="A40" s="11">
        <v>39</v>
      </c>
      <c r="B40" s="2">
        <v>5.4799999999999996E-3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N7" sqref="N7"/>
    </sheetView>
  </sheetViews>
  <sheetFormatPr defaultRowHeight="14.4" x14ac:dyDescent="0.3"/>
  <cols>
    <col min="2" max="2" width="12" customWidth="1"/>
    <col min="3" max="3" width="11.33203125" customWidth="1"/>
    <col min="4" max="4" width="13.109375" customWidth="1"/>
    <col min="5" max="5" width="9.88671875" customWidth="1"/>
    <col min="6" max="6" width="11.109375" customWidth="1"/>
    <col min="7" max="7" width="15" customWidth="1"/>
    <col min="8" max="8" width="10.33203125" customWidth="1"/>
    <col min="9" max="9" width="11.6640625" customWidth="1"/>
    <col min="10" max="10" width="11.21875" customWidth="1"/>
    <col min="11" max="11" width="15.109375" customWidth="1"/>
  </cols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-165000000</v>
      </c>
      <c r="K2" s="2">
        <v>-165000000</v>
      </c>
    </row>
    <row r="3" spans="1:11" x14ac:dyDescent="0.3">
      <c r="A3" s="2">
        <v>1</v>
      </c>
      <c r="B3" s="2">
        <f>Assumptions!B2*0.06513</f>
        <v>10746449.999999998</v>
      </c>
      <c r="C3" s="2">
        <v>693000000</v>
      </c>
      <c r="D3" s="2">
        <v>595000000</v>
      </c>
      <c r="E3" s="2">
        <v>86625000</v>
      </c>
      <c r="F3" s="2">
        <f t="shared" ref="F3:F32" si="0">C3-D3-E3</f>
        <v>11375000</v>
      </c>
      <c r="G3" s="2">
        <f t="shared" ref="G3:G32" si="1">F3-B3</f>
        <v>628550.00000000186</v>
      </c>
      <c r="H3" s="2">
        <f t="shared" ref="H3:H32" si="2">MAX(0,G3*0.26)</f>
        <v>163423.00000000049</v>
      </c>
      <c r="I3" s="2">
        <f t="shared" ref="I3:I32" si="3">G3-H3</f>
        <v>465127.0000000014</v>
      </c>
      <c r="J3" s="2">
        <f t="shared" ref="J3:J32" si="4">I3+B3</f>
        <v>11211577</v>
      </c>
      <c r="K3" s="2">
        <f>K2+J3</f>
        <v>-153788423</v>
      </c>
    </row>
    <row r="4" spans="1:11" x14ac:dyDescent="0.3">
      <c r="A4" s="2">
        <v>2</v>
      </c>
      <c r="B4" s="2">
        <f>Assumptions!B2*0.06179</f>
        <v>10195350</v>
      </c>
      <c r="C4" s="2">
        <v>693000000</v>
      </c>
      <c r="D4" s="2">
        <v>595000000</v>
      </c>
      <c r="E4" s="2">
        <v>86625000</v>
      </c>
      <c r="F4" s="2">
        <f t="shared" si="0"/>
        <v>11375000</v>
      </c>
      <c r="G4" s="2">
        <f t="shared" si="1"/>
        <v>1179650</v>
      </c>
      <c r="H4" s="2">
        <f t="shared" si="2"/>
        <v>306709</v>
      </c>
      <c r="I4" s="2">
        <f t="shared" si="3"/>
        <v>872941</v>
      </c>
      <c r="J4" s="2">
        <f t="shared" si="4"/>
        <v>11068291</v>
      </c>
      <c r="K4" s="2">
        <f t="shared" ref="K4:K32" si="5">K3+J4</f>
        <v>-142720132</v>
      </c>
    </row>
    <row r="5" spans="1:11" x14ac:dyDescent="0.3">
      <c r="A5" s="2">
        <v>3</v>
      </c>
      <c r="B5" s="2">
        <f>Assumptions!B2*0.05901</f>
        <v>9736650</v>
      </c>
      <c r="C5" s="2">
        <v>693000000</v>
      </c>
      <c r="D5" s="2">
        <v>595000000</v>
      </c>
      <c r="E5" s="2">
        <v>86625000</v>
      </c>
      <c r="F5" s="2">
        <f t="shared" si="0"/>
        <v>11375000</v>
      </c>
      <c r="G5" s="2">
        <f t="shared" si="1"/>
        <v>1638350</v>
      </c>
      <c r="H5" s="2">
        <f t="shared" si="2"/>
        <v>425971</v>
      </c>
      <c r="I5" s="2">
        <f t="shared" si="3"/>
        <v>1212379</v>
      </c>
      <c r="J5" s="2">
        <f t="shared" si="4"/>
        <v>10949029</v>
      </c>
      <c r="K5" s="2">
        <f t="shared" si="5"/>
        <v>-131771103</v>
      </c>
    </row>
    <row r="6" spans="1:11" x14ac:dyDescent="0.3">
      <c r="A6" s="2">
        <v>4</v>
      </c>
      <c r="B6" s="2">
        <f>Assumptions!B2*0.05635</f>
        <v>9297750</v>
      </c>
      <c r="C6" s="2">
        <v>693000000</v>
      </c>
      <c r="D6" s="2">
        <v>595000000</v>
      </c>
      <c r="E6" s="2">
        <v>86625000</v>
      </c>
      <c r="F6" s="2">
        <f t="shared" si="0"/>
        <v>11375000</v>
      </c>
      <c r="G6" s="2">
        <f t="shared" si="1"/>
        <v>2077250</v>
      </c>
      <c r="H6" s="2">
        <f t="shared" si="2"/>
        <v>540085</v>
      </c>
      <c r="I6" s="2">
        <f t="shared" si="3"/>
        <v>1537165</v>
      </c>
      <c r="J6" s="2">
        <f t="shared" si="4"/>
        <v>10834915</v>
      </c>
      <c r="K6" s="2">
        <f t="shared" si="5"/>
        <v>-120936188</v>
      </c>
    </row>
    <row r="7" spans="1:11" x14ac:dyDescent="0.3">
      <c r="A7" s="2">
        <v>5</v>
      </c>
      <c r="B7" s="2">
        <f>Assumptions!B2*0.05376</f>
        <v>8870400</v>
      </c>
      <c r="C7" s="2">
        <v>693000000</v>
      </c>
      <c r="D7" s="2">
        <v>595000000</v>
      </c>
      <c r="E7" s="2">
        <v>86625000</v>
      </c>
      <c r="F7" s="2">
        <f t="shared" si="0"/>
        <v>11375000</v>
      </c>
      <c r="G7" s="2">
        <f t="shared" si="1"/>
        <v>2504600</v>
      </c>
      <c r="H7" s="2">
        <f t="shared" si="2"/>
        <v>651196</v>
      </c>
      <c r="I7" s="2">
        <f t="shared" si="3"/>
        <v>1853404</v>
      </c>
      <c r="J7" s="2">
        <f t="shared" si="4"/>
        <v>10723804</v>
      </c>
      <c r="K7" s="2">
        <f t="shared" si="5"/>
        <v>-110212384</v>
      </c>
    </row>
    <row r="8" spans="1:11" x14ac:dyDescent="0.3">
      <c r="A8" s="2">
        <v>6</v>
      </c>
      <c r="B8" s="2">
        <f>Assumptions!B2*0.05125</f>
        <v>8456250</v>
      </c>
      <c r="C8" s="2">
        <v>693000000</v>
      </c>
      <c r="D8" s="2">
        <v>595000000</v>
      </c>
      <c r="E8" s="2">
        <v>86625000</v>
      </c>
      <c r="F8" s="2">
        <f t="shared" si="0"/>
        <v>11375000</v>
      </c>
      <c r="G8" s="2">
        <f t="shared" si="1"/>
        <v>2918750</v>
      </c>
      <c r="H8" s="2">
        <f t="shared" si="2"/>
        <v>758875</v>
      </c>
      <c r="I8" s="2">
        <f t="shared" si="3"/>
        <v>2159875</v>
      </c>
      <c r="J8" s="2">
        <f t="shared" si="4"/>
        <v>10616125</v>
      </c>
      <c r="K8" s="2">
        <f t="shared" si="5"/>
        <v>-99596259</v>
      </c>
    </row>
    <row r="9" spans="1:11" x14ac:dyDescent="0.3">
      <c r="A9" s="2">
        <v>7</v>
      </c>
      <c r="B9" s="2">
        <f>Assumptions!B2*0.04881</f>
        <v>8053650</v>
      </c>
      <c r="C9" s="2">
        <v>693000000</v>
      </c>
      <c r="D9" s="2">
        <v>595000000</v>
      </c>
      <c r="E9" s="2">
        <v>86625000</v>
      </c>
      <c r="F9" s="2">
        <f t="shared" si="0"/>
        <v>11375000</v>
      </c>
      <c r="G9" s="2">
        <f t="shared" si="1"/>
        <v>3321350</v>
      </c>
      <c r="H9" s="2">
        <f t="shared" si="2"/>
        <v>863551</v>
      </c>
      <c r="I9" s="2">
        <f t="shared" si="3"/>
        <v>2457799</v>
      </c>
      <c r="J9" s="2">
        <f t="shared" si="4"/>
        <v>10511449</v>
      </c>
      <c r="K9" s="2">
        <f t="shared" si="5"/>
        <v>-89084810</v>
      </c>
    </row>
    <row r="10" spans="1:11" x14ac:dyDescent="0.3">
      <c r="A10" s="2">
        <v>8</v>
      </c>
      <c r="B10" s="2">
        <f>Assumptions!B2*0.04644</f>
        <v>7662600</v>
      </c>
      <c r="C10" s="2">
        <v>693000000</v>
      </c>
      <c r="D10" s="2">
        <v>595000000</v>
      </c>
      <c r="E10" s="2">
        <v>86625000</v>
      </c>
      <c r="F10" s="2">
        <f t="shared" si="0"/>
        <v>11375000</v>
      </c>
      <c r="G10" s="2">
        <f t="shared" si="1"/>
        <v>3712400</v>
      </c>
      <c r="H10" s="2">
        <f t="shared" si="2"/>
        <v>965224</v>
      </c>
      <c r="I10" s="2">
        <f t="shared" si="3"/>
        <v>2747176</v>
      </c>
      <c r="J10" s="2">
        <f t="shared" si="4"/>
        <v>10409776</v>
      </c>
      <c r="K10" s="2">
        <f t="shared" si="5"/>
        <v>-78675034</v>
      </c>
    </row>
    <row r="11" spans="1:11" x14ac:dyDescent="0.3">
      <c r="A11" s="2">
        <v>9</v>
      </c>
      <c r="B11" s="2">
        <f>Assumptions!B2*0.04413</f>
        <v>7281450</v>
      </c>
      <c r="C11" s="2">
        <v>693000000</v>
      </c>
      <c r="D11" s="2">
        <v>595000000</v>
      </c>
      <c r="E11" s="2">
        <v>86625000</v>
      </c>
      <c r="F11" s="2">
        <f t="shared" si="0"/>
        <v>11375000</v>
      </c>
      <c r="G11" s="2">
        <f t="shared" si="1"/>
        <v>4093550</v>
      </c>
      <c r="H11" s="2">
        <f t="shared" si="2"/>
        <v>1064323</v>
      </c>
      <c r="I11" s="2">
        <f t="shared" si="3"/>
        <v>3029227</v>
      </c>
      <c r="J11" s="2">
        <f t="shared" si="4"/>
        <v>10310677</v>
      </c>
      <c r="K11" s="2">
        <f t="shared" si="5"/>
        <v>-68364357</v>
      </c>
    </row>
    <row r="12" spans="1:11" x14ac:dyDescent="0.3">
      <c r="A12" s="2">
        <v>10</v>
      </c>
      <c r="B12" s="2">
        <f>Assumptions!B2*0.04189</f>
        <v>6911849.9999999991</v>
      </c>
      <c r="C12" s="2">
        <v>693000000</v>
      </c>
      <c r="D12" s="2">
        <v>595000000</v>
      </c>
      <c r="E12" s="2">
        <v>86625000</v>
      </c>
      <c r="F12" s="2">
        <f t="shared" si="0"/>
        <v>11375000</v>
      </c>
      <c r="G12" s="2">
        <f t="shared" si="1"/>
        <v>4463150.0000000009</v>
      </c>
      <c r="H12" s="2">
        <f t="shared" si="2"/>
        <v>1160419.0000000002</v>
      </c>
      <c r="I12" s="2">
        <f t="shared" si="3"/>
        <v>3302731.0000000009</v>
      </c>
      <c r="J12" s="2">
        <f t="shared" si="4"/>
        <v>10214581</v>
      </c>
      <c r="K12" s="2">
        <f t="shared" si="5"/>
        <v>-58149776</v>
      </c>
    </row>
    <row r="13" spans="1:11" x14ac:dyDescent="0.3">
      <c r="A13" s="2">
        <v>11</v>
      </c>
      <c r="B13" s="2">
        <f>Assumptions!B2*0.03972</f>
        <v>6553800</v>
      </c>
      <c r="C13" s="2">
        <v>693000000</v>
      </c>
      <c r="D13" s="2">
        <v>595000000</v>
      </c>
      <c r="E13" s="2">
        <v>86625000</v>
      </c>
      <c r="F13" s="2">
        <f t="shared" si="0"/>
        <v>11375000</v>
      </c>
      <c r="G13" s="2">
        <f t="shared" si="1"/>
        <v>4821200</v>
      </c>
      <c r="H13" s="2">
        <f t="shared" si="2"/>
        <v>1253512</v>
      </c>
      <c r="I13" s="2">
        <f t="shared" si="3"/>
        <v>3567688</v>
      </c>
      <c r="J13" s="2">
        <f t="shared" si="4"/>
        <v>10121488</v>
      </c>
      <c r="K13" s="2">
        <f t="shared" si="5"/>
        <v>-48028288</v>
      </c>
    </row>
    <row r="14" spans="1:11" x14ac:dyDescent="0.3">
      <c r="A14" s="2">
        <v>12</v>
      </c>
      <c r="B14" s="2">
        <f>Assumptions!B2*0.03762</f>
        <v>6207300</v>
      </c>
      <c r="C14" s="2">
        <v>693000000</v>
      </c>
      <c r="D14" s="2">
        <v>595000000</v>
      </c>
      <c r="E14" s="2">
        <v>86625000</v>
      </c>
      <c r="F14" s="2">
        <f t="shared" si="0"/>
        <v>11375000</v>
      </c>
      <c r="G14" s="2">
        <f t="shared" si="1"/>
        <v>5167700</v>
      </c>
      <c r="H14" s="2">
        <f t="shared" si="2"/>
        <v>1343602</v>
      </c>
      <c r="I14" s="2">
        <f t="shared" si="3"/>
        <v>3824098</v>
      </c>
      <c r="J14" s="2">
        <f t="shared" si="4"/>
        <v>10031398</v>
      </c>
      <c r="K14" s="2">
        <f t="shared" si="5"/>
        <v>-37996890</v>
      </c>
    </row>
    <row r="15" spans="1:11" x14ac:dyDescent="0.3">
      <c r="A15" s="2">
        <v>13</v>
      </c>
      <c r="B15" s="2">
        <f>Assumptions!B2*0.03558</f>
        <v>5870700</v>
      </c>
      <c r="C15" s="2">
        <v>693000000</v>
      </c>
      <c r="D15" s="2">
        <v>595000000</v>
      </c>
      <c r="E15" s="2">
        <v>86625000</v>
      </c>
      <c r="F15" s="2">
        <f t="shared" si="0"/>
        <v>11375000</v>
      </c>
      <c r="G15" s="2">
        <f t="shared" si="1"/>
        <v>5504300</v>
      </c>
      <c r="H15" s="2">
        <f t="shared" si="2"/>
        <v>1431118</v>
      </c>
      <c r="I15" s="2">
        <f t="shared" si="3"/>
        <v>4073182</v>
      </c>
      <c r="J15" s="2">
        <f t="shared" si="4"/>
        <v>9943882</v>
      </c>
      <c r="K15" s="2">
        <f t="shared" si="5"/>
        <v>-28053008</v>
      </c>
    </row>
    <row r="16" spans="1:11" x14ac:dyDescent="0.3">
      <c r="A16" s="2">
        <v>14</v>
      </c>
      <c r="B16" s="2">
        <f>Assumptions!B2*0.03361</f>
        <v>5545650</v>
      </c>
      <c r="C16" s="2">
        <v>693000000</v>
      </c>
      <c r="D16" s="2">
        <v>595000000</v>
      </c>
      <c r="E16" s="2">
        <v>86625000</v>
      </c>
      <c r="F16" s="2">
        <f t="shared" si="0"/>
        <v>11375000</v>
      </c>
      <c r="G16" s="2">
        <f t="shared" si="1"/>
        <v>5829350</v>
      </c>
      <c r="H16" s="2">
        <f t="shared" si="2"/>
        <v>1515631</v>
      </c>
      <c r="I16" s="2">
        <f t="shared" si="3"/>
        <v>4313719</v>
      </c>
      <c r="J16" s="2">
        <f t="shared" si="4"/>
        <v>9859369</v>
      </c>
      <c r="K16" s="2">
        <f t="shared" si="5"/>
        <v>-18193639</v>
      </c>
    </row>
    <row r="17" spans="1:11" x14ac:dyDescent="0.3">
      <c r="A17" s="2">
        <v>15</v>
      </c>
      <c r="B17" s="2">
        <f>Assumptions!B2*0.0317</f>
        <v>5230500</v>
      </c>
      <c r="C17" s="2">
        <v>693000000</v>
      </c>
      <c r="D17" s="2">
        <v>595000000</v>
      </c>
      <c r="E17" s="2">
        <v>86625000</v>
      </c>
      <c r="F17" s="2">
        <f t="shared" si="0"/>
        <v>11375000</v>
      </c>
      <c r="G17" s="2">
        <f t="shared" si="1"/>
        <v>6144500</v>
      </c>
      <c r="H17" s="2">
        <f t="shared" si="2"/>
        <v>1597570</v>
      </c>
      <c r="I17" s="2">
        <f t="shared" si="3"/>
        <v>4546930</v>
      </c>
      <c r="J17" s="2">
        <f t="shared" si="4"/>
        <v>9777430</v>
      </c>
      <c r="K17" s="2">
        <f t="shared" si="5"/>
        <v>-8416209</v>
      </c>
    </row>
    <row r="18" spans="1:11" x14ac:dyDescent="0.3">
      <c r="A18" s="7">
        <v>16</v>
      </c>
      <c r="B18" s="7">
        <f>Assumptions!B2*0.02986</f>
        <v>4926900</v>
      </c>
      <c r="C18" s="7">
        <v>693000000</v>
      </c>
      <c r="D18" s="7">
        <v>595000000</v>
      </c>
      <c r="E18" s="7">
        <v>86625000</v>
      </c>
      <c r="F18" s="7">
        <f t="shared" si="0"/>
        <v>11375000</v>
      </c>
      <c r="G18" s="7">
        <f t="shared" si="1"/>
        <v>6448100</v>
      </c>
      <c r="H18" s="7">
        <f t="shared" si="2"/>
        <v>1676506</v>
      </c>
      <c r="I18" s="7">
        <f t="shared" si="3"/>
        <v>4771594</v>
      </c>
      <c r="J18" s="7">
        <f t="shared" si="4"/>
        <v>9698494</v>
      </c>
      <c r="K18" s="7">
        <f t="shared" si="5"/>
        <v>1282285</v>
      </c>
    </row>
    <row r="19" spans="1:11" x14ac:dyDescent="0.3">
      <c r="A19" s="2">
        <v>17</v>
      </c>
      <c r="B19" s="2">
        <f>Assumptions!B2*0.02808</f>
        <v>4633200</v>
      </c>
      <c r="C19" s="2">
        <v>693000000</v>
      </c>
      <c r="D19" s="2">
        <v>595000000</v>
      </c>
      <c r="E19" s="2">
        <v>86625000</v>
      </c>
      <c r="F19" s="2">
        <f t="shared" si="0"/>
        <v>11375000</v>
      </c>
      <c r="G19" s="2">
        <f t="shared" si="1"/>
        <v>6741800</v>
      </c>
      <c r="H19" s="2">
        <f t="shared" si="2"/>
        <v>1752868</v>
      </c>
      <c r="I19" s="2">
        <f t="shared" si="3"/>
        <v>4988932</v>
      </c>
      <c r="J19" s="2">
        <f t="shared" si="4"/>
        <v>9622132</v>
      </c>
      <c r="K19" s="2">
        <f t="shared" si="5"/>
        <v>10904417</v>
      </c>
    </row>
    <row r="20" spans="1:11" x14ac:dyDescent="0.3">
      <c r="A20" s="2">
        <v>18</v>
      </c>
      <c r="B20" s="2">
        <f>Assumptions!B2*0.02637</f>
        <v>4351050</v>
      </c>
      <c r="C20" s="2">
        <v>693000000</v>
      </c>
      <c r="D20" s="2">
        <v>595000000</v>
      </c>
      <c r="E20" s="2">
        <v>86625000</v>
      </c>
      <c r="F20" s="2">
        <f t="shared" si="0"/>
        <v>11375000</v>
      </c>
      <c r="G20" s="2">
        <f t="shared" si="1"/>
        <v>7023950</v>
      </c>
      <c r="H20" s="2">
        <f t="shared" si="2"/>
        <v>1826227</v>
      </c>
      <c r="I20" s="2">
        <f t="shared" si="3"/>
        <v>5197723</v>
      </c>
      <c r="J20" s="2">
        <f t="shared" si="4"/>
        <v>9548773</v>
      </c>
      <c r="K20" s="2">
        <f t="shared" si="5"/>
        <v>20453190</v>
      </c>
    </row>
    <row r="21" spans="1:11" x14ac:dyDescent="0.3">
      <c r="A21" s="2">
        <v>19</v>
      </c>
      <c r="B21" s="2">
        <f>Assumptions!B2*0.02472</f>
        <v>4078800</v>
      </c>
      <c r="C21" s="2">
        <v>693000000</v>
      </c>
      <c r="D21" s="2">
        <v>595000000</v>
      </c>
      <c r="E21" s="2">
        <v>86625000</v>
      </c>
      <c r="F21" s="2">
        <f t="shared" si="0"/>
        <v>11375000</v>
      </c>
      <c r="G21" s="2">
        <f t="shared" si="1"/>
        <v>7296200</v>
      </c>
      <c r="H21" s="2">
        <f t="shared" si="2"/>
        <v>1897012</v>
      </c>
      <c r="I21" s="2">
        <f t="shared" si="3"/>
        <v>5399188</v>
      </c>
      <c r="J21" s="2">
        <f t="shared" si="4"/>
        <v>9477988</v>
      </c>
      <c r="K21" s="2">
        <f t="shared" si="5"/>
        <v>29931178</v>
      </c>
    </row>
    <row r="22" spans="1:11" x14ac:dyDescent="0.3">
      <c r="A22" s="2">
        <v>20</v>
      </c>
      <c r="B22" s="2">
        <f>Assumptions!B2*0.02314</f>
        <v>3818100</v>
      </c>
      <c r="C22" s="2">
        <v>693000000</v>
      </c>
      <c r="D22" s="2">
        <v>595000000</v>
      </c>
      <c r="E22" s="2">
        <v>86625000</v>
      </c>
      <c r="F22" s="2">
        <f t="shared" si="0"/>
        <v>11375000</v>
      </c>
      <c r="G22" s="2">
        <f t="shared" si="1"/>
        <v>7556900</v>
      </c>
      <c r="H22" s="2">
        <f t="shared" si="2"/>
        <v>1964794</v>
      </c>
      <c r="I22" s="2">
        <f t="shared" si="3"/>
        <v>5592106</v>
      </c>
      <c r="J22" s="2">
        <f t="shared" si="4"/>
        <v>9410206</v>
      </c>
      <c r="K22" s="2">
        <f t="shared" si="5"/>
        <v>39341384</v>
      </c>
    </row>
    <row r="23" spans="1:11" x14ac:dyDescent="0.3">
      <c r="A23" s="2">
        <v>21</v>
      </c>
      <c r="B23" s="2">
        <f>Assumptions!B2*0.02162</f>
        <v>3567300</v>
      </c>
      <c r="C23" s="2">
        <v>693000000</v>
      </c>
      <c r="D23" s="2">
        <v>595000000</v>
      </c>
      <c r="E23" s="2">
        <v>86625000</v>
      </c>
      <c r="F23" s="2">
        <f t="shared" si="0"/>
        <v>11375000</v>
      </c>
      <c r="G23" s="2">
        <f t="shared" si="1"/>
        <v>7807700</v>
      </c>
      <c r="H23" s="2">
        <f t="shared" si="2"/>
        <v>2030002</v>
      </c>
      <c r="I23" s="2">
        <f t="shared" si="3"/>
        <v>5777698</v>
      </c>
      <c r="J23" s="2">
        <f t="shared" si="4"/>
        <v>9344998</v>
      </c>
      <c r="K23" s="2">
        <f t="shared" si="5"/>
        <v>48686382</v>
      </c>
    </row>
    <row r="24" spans="1:11" x14ac:dyDescent="0.3">
      <c r="A24" s="2">
        <v>22</v>
      </c>
      <c r="B24" s="2">
        <f>Assumptions!B2*0.02017</f>
        <v>3328050</v>
      </c>
      <c r="C24" s="2">
        <v>693000000</v>
      </c>
      <c r="D24" s="2">
        <v>595000000</v>
      </c>
      <c r="E24" s="2">
        <v>86625000</v>
      </c>
      <c r="F24" s="2">
        <f t="shared" si="0"/>
        <v>11375000</v>
      </c>
      <c r="G24" s="2">
        <f t="shared" si="1"/>
        <v>8046950</v>
      </c>
      <c r="H24" s="2">
        <f t="shared" si="2"/>
        <v>2092207</v>
      </c>
      <c r="I24" s="2">
        <f t="shared" si="3"/>
        <v>5954743</v>
      </c>
      <c r="J24" s="2">
        <f t="shared" si="4"/>
        <v>9282793</v>
      </c>
      <c r="K24" s="2">
        <f t="shared" si="5"/>
        <v>57969175</v>
      </c>
    </row>
    <row r="25" spans="1:11" x14ac:dyDescent="0.3">
      <c r="A25" s="2">
        <v>23</v>
      </c>
      <c r="B25" s="2">
        <f>Assumptions!B2*0.01878</f>
        <v>3098700.0000000005</v>
      </c>
      <c r="C25" s="2">
        <v>693000000</v>
      </c>
      <c r="D25" s="2">
        <v>595000000</v>
      </c>
      <c r="E25" s="2">
        <v>86625000</v>
      </c>
      <c r="F25" s="2">
        <f t="shared" si="0"/>
        <v>11375000</v>
      </c>
      <c r="G25" s="2">
        <f t="shared" si="1"/>
        <v>8276300</v>
      </c>
      <c r="H25" s="2">
        <f t="shared" si="2"/>
        <v>2151838</v>
      </c>
      <c r="I25" s="2">
        <f t="shared" si="3"/>
        <v>6124462</v>
      </c>
      <c r="J25" s="2">
        <f t="shared" si="4"/>
        <v>9223162</v>
      </c>
      <c r="K25" s="2">
        <f t="shared" si="5"/>
        <v>67192337</v>
      </c>
    </row>
    <row r="26" spans="1:11" x14ac:dyDescent="0.3">
      <c r="A26" s="2">
        <v>24</v>
      </c>
      <c r="B26" s="2">
        <f>Assumptions!B2*0.01746</f>
        <v>2880900</v>
      </c>
      <c r="C26" s="2">
        <v>693000000</v>
      </c>
      <c r="D26" s="2">
        <v>595000000</v>
      </c>
      <c r="E26" s="2">
        <v>86625000</v>
      </c>
      <c r="F26" s="2">
        <f t="shared" si="0"/>
        <v>11375000</v>
      </c>
      <c r="G26" s="2">
        <f t="shared" si="1"/>
        <v>8494100</v>
      </c>
      <c r="H26" s="2">
        <f t="shared" si="2"/>
        <v>2208466</v>
      </c>
      <c r="I26" s="2">
        <f t="shared" si="3"/>
        <v>6285634</v>
      </c>
      <c r="J26" s="2">
        <f t="shared" si="4"/>
        <v>9166534</v>
      </c>
      <c r="K26" s="2">
        <f t="shared" si="5"/>
        <v>76358871</v>
      </c>
    </row>
    <row r="27" spans="1:11" x14ac:dyDescent="0.3">
      <c r="A27" s="2">
        <v>25</v>
      </c>
      <c r="B27" s="2">
        <f>Assumptions!B2*0.0162</f>
        <v>2673000</v>
      </c>
      <c r="C27" s="2">
        <v>693000000</v>
      </c>
      <c r="D27" s="2">
        <v>595000000</v>
      </c>
      <c r="E27" s="2">
        <v>86625000</v>
      </c>
      <c r="F27" s="2">
        <f t="shared" si="0"/>
        <v>11375000</v>
      </c>
      <c r="G27" s="2">
        <f t="shared" si="1"/>
        <v>8702000</v>
      </c>
      <c r="H27" s="2">
        <f t="shared" si="2"/>
        <v>2262520</v>
      </c>
      <c r="I27" s="2">
        <f t="shared" si="3"/>
        <v>6439480</v>
      </c>
      <c r="J27" s="2">
        <f t="shared" si="4"/>
        <v>9112480</v>
      </c>
      <c r="K27" s="2">
        <f t="shared" si="5"/>
        <v>85471351</v>
      </c>
    </row>
    <row r="28" spans="1:11" x14ac:dyDescent="0.3">
      <c r="A28" s="2">
        <v>26</v>
      </c>
      <c r="B28" s="2">
        <f>Assumptions!B2*0.015</f>
        <v>2475000</v>
      </c>
      <c r="C28" s="2">
        <v>693000000</v>
      </c>
      <c r="D28" s="2">
        <v>595000000</v>
      </c>
      <c r="E28" s="2">
        <v>86625000</v>
      </c>
      <c r="F28" s="2">
        <f t="shared" si="0"/>
        <v>11375000</v>
      </c>
      <c r="G28" s="2">
        <f t="shared" si="1"/>
        <v>8900000</v>
      </c>
      <c r="H28" s="2">
        <f t="shared" si="2"/>
        <v>2314000</v>
      </c>
      <c r="I28" s="2">
        <f t="shared" si="3"/>
        <v>6586000</v>
      </c>
      <c r="J28" s="2">
        <f t="shared" si="4"/>
        <v>9061000</v>
      </c>
      <c r="K28" s="2">
        <f t="shared" si="5"/>
        <v>94532351</v>
      </c>
    </row>
    <row r="29" spans="1:11" x14ac:dyDescent="0.3">
      <c r="A29" s="2">
        <v>27</v>
      </c>
      <c r="B29" s="2">
        <f>Assumptions!B2*0.01387</f>
        <v>2288550</v>
      </c>
      <c r="C29" s="2">
        <v>693000000</v>
      </c>
      <c r="D29" s="2">
        <v>595000000</v>
      </c>
      <c r="E29" s="2">
        <v>86625000</v>
      </c>
      <c r="F29" s="2">
        <f t="shared" si="0"/>
        <v>11375000</v>
      </c>
      <c r="G29" s="2">
        <f t="shared" si="1"/>
        <v>9086450</v>
      </c>
      <c r="H29" s="2">
        <f t="shared" si="2"/>
        <v>2362477</v>
      </c>
      <c r="I29" s="2">
        <f t="shared" si="3"/>
        <v>6723973</v>
      </c>
      <c r="J29" s="2">
        <f t="shared" si="4"/>
        <v>9012523</v>
      </c>
      <c r="K29" s="2">
        <f t="shared" si="5"/>
        <v>103544874</v>
      </c>
    </row>
    <row r="30" spans="1:11" x14ac:dyDescent="0.3">
      <c r="A30" s="2">
        <v>28</v>
      </c>
      <c r="B30" s="2">
        <f>Assumptions!B2*0.0128</f>
        <v>2112000</v>
      </c>
      <c r="C30" s="2">
        <v>693000000</v>
      </c>
      <c r="D30" s="2">
        <v>595000000</v>
      </c>
      <c r="E30" s="2">
        <v>86625000</v>
      </c>
      <c r="F30" s="2">
        <f t="shared" si="0"/>
        <v>11375000</v>
      </c>
      <c r="G30" s="2">
        <f t="shared" si="1"/>
        <v>9263000</v>
      </c>
      <c r="H30" s="2">
        <f t="shared" si="2"/>
        <v>2408380</v>
      </c>
      <c r="I30" s="2">
        <f t="shared" si="3"/>
        <v>6854620</v>
      </c>
      <c r="J30" s="2">
        <f t="shared" si="4"/>
        <v>8966620</v>
      </c>
      <c r="K30" s="2">
        <f t="shared" si="5"/>
        <v>112511494</v>
      </c>
    </row>
    <row r="31" spans="1:11" x14ac:dyDescent="0.3">
      <c r="A31" s="2">
        <v>29</v>
      </c>
      <c r="B31" s="2">
        <f>Assumptions!B2*0.0118</f>
        <v>1947000</v>
      </c>
      <c r="C31" s="2">
        <v>693000000</v>
      </c>
      <c r="D31" s="2">
        <v>595000000</v>
      </c>
      <c r="E31" s="2">
        <v>86625000</v>
      </c>
      <c r="F31" s="2">
        <f t="shared" si="0"/>
        <v>11375000</v>
      </c>
      <c r="G31" s="2">
        <f t="shared" si="1"/>
        <v>9428000</v>
      </c>
      <c r="H31" s="2">
        <f t="shared" si="2"/>
        <v>2451280</v>
      </c>
      <c r="I31" s="2">
        <f t="shared" si="3"/>
        <v>6976720</v>
      </c>
      <c r="J31" s="2">
        <f t="shared" si="4"/>
        <v>8923720</v>
      </c>
      <c r="K31" s="2">
        <f t="shared" si="5"/>
        <v>121435214</v>
      </c>
    </row>
    <row r="32" spans="1:11" x14ac:dyDescent="0.3">
      <c r="A32" s="2">
        <v>30</v>
      </c>
      <c r="B32" s="2">
        <f>Assumptions!B2*0.01086</f>
        <v>1791900</v>
      </c>
      <c r="C32" s="2">
        <v>693000000</v>
      </c>
      <c r="D32" s="2">
        <v>595000000</v>
      </c>
      <c r="E32" s="2">
        <v>86625000</v>
      </c>
      <c r="F32" s="2">
        <f t="shared" si="0"/>
        <v>11375000</v>
      </c>
      <c r="G32" s="2">
        <f t="shared" si="1"/>
        <v>9583100</v>
      </c>
      <c r="H32" s="2">
        <f t="shared" si="2"/>
        <v>2491606</v>
      </c>
      <c r="I32" s="2">
        <f t="shared" si="3"/>
        <v>7091494</v>
      </c>
      <c r="J32" s="2">
        <f t="shared" si="4"/>
        <v>8883394</v>
      </c>
      <c r="K32" s="2">
        <f t="shared" si="5"/>
        <v>130318608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workbookViewId="0">
      <selection activeCell="M13" sqref="M13"/>
    </sheetView>
  </sheetViews>
  <sheetFormatPr defaultRowHeight="14.4" x14ac:dyDescent="0.3"/>
  <cols>
    <col min="2" max="2" width="12.44140625" customWidth="1"/>
    <col min="3" max="3" width="10.44140625" customWidth="1"/>
    <col min="4" max="4" width="11" customWidth="1"/>
    <col min="5" max="5" width="10.6640625" customWidth="1"/>
    <col min="7" max="7" width="15" customWidth="1"/>
    <col min="9" max="9" width="11.6640625" customWidth="1"/>
    <col min="10" max="10" width="14.5546875" customWidth="1"/>
    <col min="11" max="11" width="15.6640625" customWidth="1"/>
  </cols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-160000000</v>
      </c>
      <c r="K2" s="2">
        <v>-160000000</v>
      </c>
    </row>
    <row r="3" spans="1:11" x14ac:dyDescent="0.3">
      <c r="A3" s="2">
        <v>1</v>
      </c>
      <c r="B3" s="2">
        <f>Assumptions!B2*0.06513</f>
        <v>10746449.999999998</v>
      </c>
      <c r="C3" s="2">
        <v>693000000</v>
      </c>
      <c r="D3" s="2">
        <v>560000000</v>
      </c>
      <c r="E3" s="2">
        <v>86625000</v>
      </c>
      <c r="F3" s="2">
        <f t="shared" ref="F3:F32" si="0">C3-D3-E3</f>
        <v>46375000</v>
      </c>
      <c r="G3" s="2">
        <f t="shared" ref="G3:G32" si="1">F3-B3</f>
        <v>35628550</v>
      </c>
      <c r="H3" s="2">
        <f t="shared" ref="H3:H32" si="2">MAX(0,G3*0.25)</f>
        <v>8907137.5</v>
      </c>
      <c r="I3" s="2">
        <f t="shared" ref="I3:I32" si="3">G3-H3</f>
        <v>26721412.5</v>
      </c>
      <c r="J3" s="2">
        <f t="shared" ref="J3:J32" si="4">I3+B3</f>
        <v>37467862.5</v>
      </c>
      <c r="K3" s="2">
        <f>K2+J3</f>
        <v>-122532137.5</v>
      </c>
    </row>
    <row r="4" spans="1:11" x14ac:dyDescent="0.3">
      <c r="A4" s="2">
        <v>2</v>
      </c>
      <c r="B4" s="2">
        <f>Assumptions!B2*0.06179</f>
        <v>10195350</v>
      </c>
      <c r="C4" s="2">
        <v>693000000</v>
      </c>
      <c r="D4" s="2">
        <v>560000000</v>
      </c>
      <c r="E4" s="2">
        <v>86625000</v>
      </c>
      <c r="F4" s="2">
        <f t="shared" si="0"/>
        <v>46375000</v>
      </c>
      <c r="G4" s="2">
        <f t="shared" si="1"/>
        <v>36179650</v>
      </c>
      <c r="H4" s="2">
        <f t="shared" si="2"/>
        <v>9044912.5</v>
      </c>
      <c r="I4" s="2">
        <f t="shared" si="3"/>
        <v>27134737.5</v>
      </c>
      <c r="J4" s="2">
        <f t="shared" si="4"/>
        <v>37330087.5</v>
      </c>
      <c r="K4" s="2">
        <f t="shared" ref="K4:K32" si="5">K3+J4</f>
        <v>-85202050</v>
      </c>
    </row>
    <row r="5" spans="1:11" x14ac:dyDescent="0.3">
      <c r="A5" s="2">
        <v>3</v>
      </c>
      <c r="B5" s="2">
        <f>Assumptions!B2*0.05901</f>
        <v>9736650</v>
      </c>
      <c r="C5" s="2">
        <v>693000000</v>
      </c>
      <c r="D5" s="2">
        <v>560000000</v>
      </c>
      <c r="E5" s="2">
        <v>86625000</v>
      </c>
      <c r="F5" s="2">
        <f t="shared" si="0"/>
        <v>46375000</v>
      </c>
      <c r="G5" s="2">
        <f t="shared" si="1"/>
        <v>36638350</v>
      </c>
      <c r="H5" s="2">
        <f t="shared" si="2"/>
        <v>9159587.5</v>
      </c>
      <c r="I5" s="2">
        <f t="shared" si="3"/>
        <v>27478762.5</v>
      </c>
      <c r="J5" s="2">
        <f t="shared" si="4"/>
        <v>37215412.5</v>
      </c>
      <c r="K5" s="2">
        <f t="shared" si="5"/>
        <v>-47986637.5</v>
      </c>
    </row>
    <row r="6" spans="1:11" x14ac:dyDescent="0.3">
      <c r="A6" s="2">
        <v>4</v>
      </c>
      <c r="B6" s="2">
        <f>Assumptions!B2*0.05635</f>
        <v>9297750</v>
      </c>
      <c r="C6" s="2">
        <v>693000000</v>
      </c>
      <c r="D6" s="2">
        <v>560000000</v>
      </c>
      <c r="E6" s="2">
        <v>86625000</v>
      </c>
      <c r="F6" s="2">
        <f t="shared" si="0"/>
        <v>46375000</v>
      </c>
      <c r="G6" s="2">
        <f t="shared" si="1"/>
        <v>37077250</v>
      </c>
      <c r="H6" s="2">
        <f t="shared" si="2"/>
        <v>9269312.5</v>
      </c>
      <c r="I6" s="2">
        <f t="shared" si="3"/>
        <v>27807937.5</v>
      </c>
      <c r="J6" s="2">
        <f t="shared" si="4"/>
        <v>37105687.5</v>
      </c>
      <c r="K6" s="2">
        <f t="shared" si="5"/>
        <v>-10880950</v>
      </c>
    </row>
    <row r="7" spans="1:11" x14ac:dyDescent="0.3">
      <c r="A7" s="7">
        <v>5</v>
      </c>
      <c r="B7" s="7">
        <f>Assumptions!B2*0.05376</f>
        <v>8870400</v>
      </c>
      <c r="C7" s="7">
        <v>693000000</v>
      </c>
      <c r="D7" s="7">
        <v>560000000</v>
      </c>
      <c r="E7" s="7">
        <v>86625000</v>
      </c>
      <c r="F7" s="7">
        <f t="shared" si="0"/>
        <v>46375000</v>
      </c>
      <c r="G7" s="7">
        <f t="shared" si="1"/>
        <v>37504600</v>
      </c>
      <c r="H7" s="7">
        <f t="shared" si="2"/>
        <v>9376150</v>
      </c>
      <c r="I7" s="7">
        <f t="shared" si="3"/>
        <v>28128450</v>
      </c>
      <c r="J7" s="7">
        <f t="shared" si="4"/>
        <v>36998850</v>
      </c>
      <c r="K7" s="7">
        <f t="shared" si="5"/>
        <v>26117900</v>
      </c>
    </row>
    <row r="8" spans="1:11" x14ac:dyDescent="0.3">
      <c r="A8" s="2">
        <v>6</v>
      </c>
      <c r="B8" s="2">
        <f>Assumptions!B2*0.05125</f>
        <v>8456250</v>
      </c>
      <c r="C8" s="2">
        <v>693000000</v>
      </c>
      <c r="D8" s="2">
        <v>560000000</v>
      </c>
      <c r="E8" s="2">
        <v>86625000</v>
      </c>
      <c r="F8" s="2">
        <f t="shared" si="0"/>
        <v>46375000</v>
      </c>
      <c r="G8" s="2">
        <f t="shared" si="1"/>
        <v>37918750</v>
      </c>
      <c r="H8" s="2">
        <f t="shared" si="2"/>
        <v>9479687.5</v>
      </c>
      <c r="I8" s="2">
        <f t="shared" si="3"/>
        <v>28439062.5</v>
      </c>
      <c r="J8" s="2">
        <f t="shared" si="4"/>
        <v>36895312.5</v>
      </c>
      <c r="K8" s="2">
        <f t="shared" si="5"/>
        <v>63013212.5</v>
      </c>
    </row>
    <row r="9" spans="1:11" x14ac:dyDescent="0.3">
      <c r="A9" s="2">
        <v>7</v>
      </c>
      <c r="B9" s="2">
        <f>Assumptions!B2*0.04881</f>
        <v>8053650</v>
      </c>
      <c r="C9" s="2">
        <v>693000000</v>
      </c>
      <c r="D9" s="2">
        <v>560000000</v>
      </c>
      <c r="E9" s="2">
        <v>86625000</v>
      </c>
      <c r="F9" s="2">
        <f t="shared" si="0"/>
        <v>46375000</v>
      </c>
      <c r="G9" s="2">
        <f t="shared" si="1"/>
        <v>38321350</v>
      </c>
      <c r="H9" s="2">
        <f t="shared" si="2"/>
        <v>9580337.5</v>
      </c>
      <c r="I9" s="2">
        <f t="shared" si="3"/>
        <v>28741012.5</v>
      </c>
      <c r="J9" s="2">
        <f t="shared" si="4"/>
        <v>36794662.5</v>
      </c>
      <c r="K9" s="2">
        <f t="shared" si="5"/>
        <v>99807875</v>
      </c>
    </row>
    <row r="10" spans="1:11" x14ac:dyDescent="0.3">
      <c r="A10" s="2">
        <v>8</v>
      </c>
      <c r="B10" s="2">
        <f>Assumptions!B2*0.04644</f>
        <v>7662600</v>
      </c>
      <c r="C10" s="2">
        <v>693000000</v>
      </c>
      <c r="D10" s="2">
        <v>560000000</v>
      </c>
      <c r="E10" s="2">
        <v>86625000</v>
      </c>
      <c r="F10" s="2">
        <f t="shared" si="0"/>
        <v>46375000</v>
      </c>
      <c r="G10" s="2">
        <f t="shared" si="1"/>
        <v>38712400</v>
      </c>
      <c r="H10" s="2">
        <f t="shared" si="2"/>
        <v>9678100</v>
      </c>
      <c r="I10" s="2">
        <f t="shared" si="3"/>
        <v>29034300</v>
      </c>
      <c r="J10" s="2">
        <f t="shared" si="4"/>
        <v>36696900</v>
      </c>
      <c r="K10" s="2">
        <f t="shared" si="5"/>
        <v>136504775</v>
      </c>
    </row>
    <row r="11" spans="1:11" x14ac:dyDescent="0.3">
      <c r="A11" s="2">
        <v>9</v>
      </c>
      <c r="B11" s="2">
        <f>Assumptions!B2*0.04413</f>
        <v>7281450</v>
      </c>
      <c r="C11" s="2">
        <v>693000000</v>
      </c>
      <c r="D11" s="2">
        <v>560000000</v>
      </c>
      <c r="E11" s="2">
        <v>86625000</v>
      </c>
      <c r="F11" s="2">
        <f t="shared" si="0"/>
        <v>46375000</v>
      </c>
      <c r="G11" s="2">
        <f t="shared" si="1"/>
        <v>39093550</v>
      </c>
      <c r="H11" s="2">
        <f t="shared" si="2"/>
        <v>9773387.5</v>
      </c>
      <c r="I11" s="2">
        <f t="shared" si="3"/>
        <v>29320162.5</v>
      </c>
      <c r="J11" s="2">
        <f t="shared" si="4"/>
        <v>36601612.5</v>
      </c>
      <c r="K11" s="2">
        <f t="shared" si="5"/>
        <v>173106387.5</v>
      </c>
    </row>
    <row r="12" spans="1:11" x14ac:dyDescent="0.3">
      <c r="A12" s="2">
        <v>10</v>
      </c>
      <c r="B12" s="2">
        <f>Assumptions!B2*0.04189</f>
        <v>6911849.9999999991</v>
      </c>
      <c r="C12" s="2">
        <v>693000000</v>
      </c>
      <c r="D12" s="2">
        <v>560000000</v>
      </c>
      <c r="E12" s="2">
        <v>86625000</v>
      </c>
      <c r="F12" s="2">
        <f t="shared" si="0"/>
        <v>46375000</v>
      </c>
      <c r="G12" s="2">
        <f t="shared" si="1"/>
        <v>39463150</v>
      </c>
      <c r="H12" s="2">
        <f t="shared" si="2"/>
        <v>9865787.5</v>
      </c>
      <c r="I12" s="2">
        <f t="shared" si="3"/>
        <v>29597362.5</v>
      </c>
      <c r="J12" s="2">
        <f t="shared" si="4"/>
        <v>36509212.5</v>
      </c>
      <c r="K12" s="2">
        <f t="shared" si="5"/>
        <v>209615600</v>
      </c>
    </row>
    <row r="13" spans="1:11" x14ac:dyDescent="0.3">
      <c r="A13" s="2">
        <v>11</v>
      </c>
      <c r="B13" s="2">
        <f>Assumptions!B2*0.03972</f>
        <v>6553800</v>
      </c>
      <c r="C13" s="2">
        <v>693000000</v>
      </c>
      <c r="D13" s="2">
        <v>560000000</v>
      </c>
      <c r="E13" s="2">
        <v>86625000</v>
      </c>
      <c r="F13" s="2">
        <f t="shared" si="0"/>
        <v>46375000</v>
      </c>
      <c r="G13" s="2">
        <f t="shared" si="1"/>
        <v>39821200</v>
      </c>
      <c r="H13" s="2">
        <f t="shared" si="2"/>
        <v>9955300</v>
      </c>
      <c r="I13" s="2">
        <f t="shared" si="3"/>
        <v>29865900</v>
      </c>
      <c r="J13" s="2">
        <f t="shared" si="4"/>
        <v>36419700</v>
      </c>
      <c r="K13" s="2">
        <f t="shared" si="5"/>
        <v>246035300</v>
      </c>
    </row>
    <row r="14" spans="1:11" x14ac:dyDescent="0.3">
      <c r="A14" s="2">
        <v>12</v>
      </c>
      <c r="B14" s="2">
        <f>Assumptions!B2*0.03762</f>
        <v>6207300</v>
      </c>
      <c r="C14" s="2">
        <v>693000000</v>
      </c>
      <c r="D14" s="2">
        <v>560000000</v>
      </c>
      <c r="E14" s="2">
        <v>86625000</v>
      </c>
      <c r="F14" s="2">
        <f t="shared" si="0"/>
        <v>46375000</v>
      </c>
      <c r="G14" s="2">
        <f t="shared" si="1"/>
        <v>40167700</v>
      </c>
      <c r="H14" s="2">
        <f t="shared" si="2"/>
        <v>10041925</v>
      </c>
      <c r="I14" s="2">
        <f t="shared" si="3"/>
        <v>30125775</v>
      </c>
      <c r="J14" s="2">
        <f t="shared" si="4"/>
        <v>36333075</v>
      </c>
      <c r="K14" s="2">
        <f t="shared" si="5"/>
        <v>282368375</v>
      </c>
    </row>
    <row r="15" spans="1:11" x14ac:dyDescent="0.3">
      <c r="A15" s="2">
        <v>13</v>
      </c>
      <c r="B15" s="2">
        <f>Assumptions!B2*0.03558</f>
        <v>5870700</v>
      </c>
      <c r="C15" s="2">
        <v>693000000</v>
      </c>
      <c r="D15" s="2">
        <v>560000000</v>
      </c>
      <c r="E15" s="2">
        <v>86625000</v>
      </c>
      <c r="F15" s="2">
        <f t="shared" si="0"/>
        <v>46375000</v>
      </c>
      <c r="G15" s="2">
        <f t="shared" si="1"/>
        <v>40504300</v>
      </c>
      <c r="H15" s="2">
        <f t="shared" si="2"/>
        <v>10126075</v>
      </c>
      <c r="I15" s="2">
        <f t="shared" si="3"/>
        <v>30378225</v>
      </c>
      <c r="J15" s="2">
        <f t="shared" si="4"/>
        <v>36248925</v>
      </c>
      <c r="K15" s="2">
        <f t="shared" si="5"/>
        <v>318617300</v>
      </c>
    </row>
    <row r="16" spans="1:11" x14ac:dyDescent="0.3">
      <c r="A16" s="2">
        <v>14</v>
      </c>
      <c r="B16" s="2">
        <f>Assumptions!B2*0.03361</f>
        <v>5545650</v>
      </c>
      <c r="C16" s="2">
        <v>693000000</v>
      </c>
      <c r="D16" s="2">
        <v>560000000</v>
      </c>
      <c r="E16" s="2">
        <v>86625000</v>
      </c>
      <c r="F16" s="2">
        <f t="shared" si="0"/>
        <v>46375000</v>
      </c>
      <c r="G16" s="2">
        <f t="shared" si="1"/>
        <v>40829350</v>
      </c>
      <c r="H16" s="2">
        <f t="shared" si="2"/>
        <v>10207337.5</v>
      </c>
      <c r="I16" s="2">
        <f t="shared" si="3"/>
        <v>30622012.5</v>
      </c>
      <c r="J16" s="2">
        <f t="shared" si="4"/>
        <v>36167662.5</v>
      </c>
      <c r="K16" s="2">
        <f t="shared" si="5"/>
        <v>354784962.5</v>
      </c>
    </row>
    <row r="17" spans="1:11" x14ac:dyDescent="0.3">
      <c r="A17" s="2">
        <v>15</v>
      </c>
      <c r="B17" s="2">
        <f>Assumptions!B2*0.0317</f>
        <v>5230500</v>
      </c>
      <c r="C17" s="2">
        <v>693000000</v>
      </c>
      <c r="D17" s="2">
        <v>560000000</v>
      </c>
      <c r="E17" s="2">
        <v>86625000</v>
      </c>
      <c r="F17" s="2">
        <f t="shared" si="0"/>
        <v>46375000</v>
      </c>
      <c r="G17" s="2">
        <f t="shared" si="1"/>
        <v>41144500</v>
      </c>
      <c r="H17" s="2">
        <f t="shared" si="2"/>
        <v>10286125</v>
      </c>
      <c r="I17" s="2">
        <f t="shared" si="3"/>
        <v>30858375</v>
      </c>
      <c r="J17" s="2">
        <f t="shared" si="4"/>
        <v>36088875</v>
      </c>
      <c r="K17" s="2">
        <f t="shared" si="5"/>
        <v>390873837.5</v>
      </c>
    </row>
    <row r="18" spans="1:11" x14ac:dyDescent="0.3">
      <c r="A18" s="2">
        <v>16</v>
      </c>
      <c r="B18" s="2">
        <f>Assumptions!B2*0.02986</f>
        <v>4926900</v>
      </c>
      <c r="C18" s="2">
        <v>693000000</v>
      </c>
      <c r="D18" s="2">
        <v>560000000</v>
      </c>
      <c r="E18" s="2">
        <v>86625000</v>
      </c>
      <c r="F18" s="2">
        <f t="shared" si="0"/>
        <v>46375000</v>
      </c>
      <c r="G18" s="2">
        <f t="shared" si="1"/>
        <v>41448100</v>
      </c>
      <c r="H18" s="2">
        <f t="shared" si="2"/>
        <v>10362025</v>
      </c>
      <c r="I18" s="2">
        <f t="shared" si="3"/>
        <v>31086075</v>
      </c>
      <c r="J18" s="2">
        <f t="shared" si="4"/>
        <v>36012975</v>
      </c>
      <c r="K18" s="2">
        <f t="shared" si="5"/>
        <v>426886812.5</v>
      </c>
    </row>
    <row r="19" spans="1:11" x14ac:dyDescent="0.3">
      <c r="A19" s="2">
        <v>17</v>
      </c>
      <c r="B19" s="2">
        <f>Assumptions!B2*0.02808</f>
        <v>4633200</v>
      </c>
      <c r="C19" s="2">
        <v>693000000</v>
      </c>
      <c r="D19" s="2">
        <v>560000000</v>
      </c>
      <c r="E19" s="2">
        <v>86625000</v>
      </c>
      <c r="F19" s="2">
        <f t="shared" si="0"/>
        <v>46375000</v>
      </c>
      <c r="G19" s="2">
        <f t="shared" si="1"/>
        <v>41741800</v>
      </c>
      <c r="H19" s="2">
        <f t="shared" si="2"/>
        <v>10435450</v>
      </c>
      <c r="I19" s="2">
        <f t="shared" si="3"/>
        <v>31306350</v>
      </c>
      <c r="J19" s="2">
        <f t="shared" si="4"/>
        <v>35939550</v>
      </c>
      <c r="K19" s="2">
        <f t="shared" si="5"/>
        <v>462826362.5</v>
      </c>
    </row>
    <row r="20" spans="1:11" x14ac:dyDescent="0.3">
      <c r="A20" s="2">
        <v>18</v>
      </c>
      <c r="B20" s="2">
        <f>Assumptions!B2*0.02637</f>
        <v>4351050</v>
      </c>
      <c r="C20" s="2">
        <v>693000000</v>
      </c>
      <c r="D20" s="2">
        <v>560000000</v>
      </c>
      <c r="E20" s="2">
        <v>86625000</v>
      </c>
      <c r="F20" s="2">
        <f t="shared" si="0"/>
        <v>46375000</v>
      </c>
      <c r="G20" s="2">
        <f t="shared" si="1"/>
        <v>42023950</v>
      </c>
      <c r="H20" s="2">
        <f t="shared" si="2"/>
        <v>10505987.5</v>
      </c>
      <c r="I20" s="2">
        <f t="shared" si="3"/>
        <v>31517962.5</v>
      </c>
      <c r="J20" s="2">
        <f t="shared" si="4"/>
        <v>35869012.5</v>
      </c>
      <c r="K20" s="2">
        <f t="shared" si="5"/>
        <v>498695375</v>
      </c>
    </row>
    <row r="21" spans="1:11" x14ac:dyDescent="0.3">
      <c r="A21" s="2">
        <v>19</v>
      </c>
      <c r="B21" s="2">
        <f>Assumptions!B2*0.02472</f>
        <v>4078800</v>
      </c>
      <c r="C21" s="2">
        <v>693000000</v>
      </c>
      <c r="D21" s="2">
        <v>560000000</v>
      </c>
      <c r="E21" s="2">
        <v>86625000</v>
      </c>
      <c r="F21" s="2">
        <f t="shared" si="0"/>
        <v>46375000</v>
      </c>
      <c r="G21" s="2">
        <f t="shared" si="1"/>
        <v>42296200</v>
      </c>
      <c r="H21" s="2">
        <f t="shared" si="2"/>
        <v>10574050</v>
      </c>
      <c r="I21" s="2">
        <f t="shared" si="3"/>
        <v>31722150</v>
      </c>
      <c r="J21" s="2">
        <f t="shared" si="4"/>
        <v>35800950</v>
      </c>
      <c r="K21" s="2">
        <f t="shared" si="5"/>
        <v>534496325</v>
      </c>
    </row>
    <row r="22" spans="1:11" x14ac:dyDescent="0.3">
      <c r="A22" s="2">
        <v>20</v>
      </c>
      <c r="B22" s="2">
        <f>Assumptions!B2*0.02314</f>
        <v>3818100</v>
      </c>
      <c r="C22" s="2">
        <v>693000000</v>
      </c>
      <c r="D22" s="2">
        <v>560000000</v>
      </c>
      <c r="E22" s="2">
        <v>86625000</v>
      </c>
      <c r="F22" s="2">
        <f t="shared" si="0"/>
        <v>46375000</v>
      </c>
      <c r="G22" s="2">
        <f t="shared" si="1"/>
        <v>42556900</v>
      </c>
      <c r="H22" s="2">
        <f t="shared" si="2"/>
        <v>10639225</v>
      </c>
      <c r="I22" s="2">
        <f t="shared" si="3"/>
        <v>31917675</v>
      </c>
      <c r="J22" s="2">
        <f t="shared" si="4"/>
        <v>35735775</v>
      </c>
      <c r="K22" s="2">
        <f t="shared" si="5"/>
        <v>570232100</v>
      </c>
    </row>
    <row r="23" spans="1:11" x14ac:dyDescent="0.3">
      <c r="A23" s="2">
        <v>21</v>
      </c>
      <c r="B23" s="2">
        <f>Assumptions!B2*0.02162</f>
        <v>3567300</v>
      </c>
      <c r="C23" s="2">
        <v>693000000</v>
      </c>
      <c r="D23" s="2">
        <v>560000000</v>
      </c>
      <c r="E23" s="2">
        <v>86625000</v>
      </c>
      <c r="F23" s="2">
        <f t="shared" si="0"/>
        <v>46375000</v>
      </c>
      <c r="G23" s="2">
        <f t="shared" si="1"/>
        <v>42807700</v>
      </c>
      <c r="H23" s="2">
        <f t="shared" si="2"/>
        <v>10701925</v>
      </c>
      <c r="I23" s="2">
        <f t="shared" si="3"/>
        <v>32105775</v>
      </c>
      <c r="J23" s="2">
        <f t="shared" si="4"/>
        <v>35673075</v>
      </c>
      <c r="K23" s="2">
        <f t="shared" si="5"/>
        <v>605905175</v>
      </c>
    </row>
    <row r="24" spans="1:11" x14ac:dyDescent="0.3">
      <c r="A24" s="2">
        <v>22</v>
      </c>
      <c r="B24" s="2">
        <f>Assumptions!B2*0.02017</f>
        <v>3328050</v>
      </c>
      <c r="C24" s="2">
        <v>693000000</v>
      </c>
      <c r="D24" s="2">
        <v>560000000</v>
      </c>
      <c r="E24" s="2">
        <v>86625000</v>
      </c>
      <c r="F24" s="2">
        <f t="shared" si="0"/>
        <v>46375000</v>
      </c>
      <c r="G24" s="2">
        <f t="shared" si="1"/>
        <v>43046950</v>
      </c>
      <c r="H24" s="2">
        <f t="shared" si="2"/>
        <v>10761737.5</v>
      </c>
      <c r="I24" s="2">
        <f t="shared" si="3"/>
        <v>32285212.5</v>
      </c>
      <c r="J24" s="2">
        <f t="shared" si="4"/>
        <v>35613262.5</v>
      </c>
      <c r="K24" s="2">
        <f t="shared" si="5"/>
        <v>641518437.5</v>
      </c>
    </row>
    <row r="25" spans="1:11" x14ac:dyDescent="0.3">
      <c r="A25" s="2">
        <v>23</v>
      </c>
      <c r="B25" s="2">
        <f>Assumptions!B2*0.01878</f>
        <v>3098700.0000000005</v>
      </c>
      <c r="C25" s="2">
        <v>693000000</v>
      </c>
      <c r="D25" s="2">
        <v>560000000</v>
      </c>
      <c r="E25" s="2">
        <v>86625000</v>
      </c>
      <c r="F25" s="2">
        <f t="shared" si="0"/>
        <v>46375000</v>
      </c>
      <c r="G25" s="2">
        <f t="shared" si="1"/>
        <v>43276300</v>
      </c>
      <c r="H25" s="2">
        <f t="shared" si="2"/>
        <v>10819075</v>
      </c>
      <c r="I25" s="2">
        <f t="shared" si="3"/>
        <v>32457225</v>
      </c>
      <c r="J25" s="2">
        <f t="shared" si="4"/>
        <v>35555925</v>
      </c>
      <c r="K25" s="2">
        <f t="shared" si="5"/>
        <v>677074362.5</v>
      </c>
    </row>
    <row r="26" spans="1:11" x14ac:dyDescent="0.3">
      <c r="A26" s="2">
        <v>24</v>
      </c>
      <c r="B26" s="2">
        <f>Assumptions!B2*0.01746</f>
        <v>2880900</v>
      </c>
      <c r="C26" s="2">
        <v>693000000</v>
      </c>
      <c r="D26" s="2">
        <v>560000000</v>
      </c>
      <c r="E26" s="2">
        <v>86625000</v>
      </c>
      <c r="F26" s="2">
        <f t="shared" si="0"/>
        <v>46375000</v>
      </c>
      <c r="G26" s="2">
        <f t="shared" si="1"/>
        <v>43494100</v>
      </c>
      <c r="H26" s="2">
        <f t="shared" si="2"/>
        <v>10873525</v>
      </c>
      <c r="I26" s="2">
        <f t="shared" si="3"/>
        <v>32620575</v>
      </c>
      <c r="J26" s="2">
        <f t="shared" si="4"/>
        <v>35501475</v>
      </c>
      <c r="K26" s="2">
        <f t="shared" si="5"/>
        <v>712575837.5</v>
      </c>
    </row>
    <row r="27" spans="1:11" x14ac:dyDescent="0.3">
      <c r="A27" s="2">
        <v>25</v>
      </c>
      <c r="B27" s="2">
        <f>Assumptions!B2*0.0162</f>
        <v>2673000</v>
      </c>
      <c r="C27" s="2">
        <v>693000000</v>
      </c>
      <c r="D27" s="2">
        <v>560000000</v>
      </c>
      <c r="E27" s="2">
        <v>86625000</v>
      </c>
      <c r="F27" s="2">
        <f t="shared" si="0"/>
        <v>46375000</v>
      </c>
      <c r="G27" s="2">
        <f t="shared" si="1"/>
        <v>43702000</v>
      </c>
      <c r="H27" s="2">
        <f t="shared" si="2"/>
        <v>10925500</v>
      </c>
      <c r="I27" s="2">
        <f t="shared" si="3"/>
        <v>32776500</v>
      </c>
      <c r="J27" s="2">
        <f t="shared" si="4"/>
        <v>35449500</v>
      </c>
      <c r="K27" s="2">
        <f t="shared" si="5"/>
        <v>748025337.5</v>
      </c>
    </row>
    <row r="28" spans="1:11" x14ac:dyDescent="0.3">
      <c r="A28" s="2">
        <v>26</v>
      </c>
      <c r="B28" s="2">
        <f>Assumptions!B2*0.015</f>
        <v>2475000</v>
      </c>
      <c r="C28" s="2">
        <v>693000000</v>
      </c>
      <c r="D28" s="2">
        <v>560000000</v>
      </c>
      <c r="E28" s="2">
        <v>86625000</v>
      </c>
      <c r="F28" s="2">
        <f t="shared" si="0"/>
        <v>46375000</v>
      </c>
      <c r="G28" s="2">
        <f t="shared" si="1"/>
        <v>43900000</v>
      </c>
      <c r="H28" s="2">
        <f t="shared" si="2"/>
        <v>10975000</v>
      </c>
      <c r="I28" s="2">
        <f t="shared" si="3"/>
        <v>32925000</v>
      </c>
      <c r="J28" s="2">
        <f t="shared" si="4"/>
        <v>35400000</v>
      </c>
      <c r="K28" s="2">
        <f t="shared" si="5"/>
        <v>783425337.5</v>
      </c>
    </row>
    <row r="29" spans="1:11" x14ac:dyDescent="0.3">
      <c r="A29" s="2">
        <v>27</v>
      </c>
      <c r="B29" s="2">
        <f>Assumptions!B2*0.01387</f>
        <v>2288550</v>
      </c>
      <c r="C29" s="2">
        <v>693000000</v>
      </c>
      <c r="D29" s="2">
        <v>560000000</v>
      </c>
      <c r="E29" s="2">
        <v>86625000</v>
      </c>
      <c r="F29" s="2">
        <f t="shared" si="0"/>
        <v>46375000</v>
      </c>
      <c r="G29" s="2">
        <f t="shared" si="1"/>
        <v>44086450</v>
      </c>
      <c r="H29" s="2">
        <f t="shared" si="2"/>
        <v>11021612.5</v>
      </c>
      <c r="I29" s="2">
        <f t="shared" si="3"/>
        <v>33064837.5</v>
      </c>
      <c r="J29" s="2">
        <f t="shared" si="4"/>
        <v>35353387.5</v>
      </c>
      <c r="K29" s="2">
        <f t="shared" si="5"/>
        <v>818778725</v>
      </c>
    </row>
    <row r="30" spans="1:11" x14ac:dyDescent="0.3">
      <c r="A30" s="2">
        <v>28</v>
      </c>
      <c r="B30" s="2">
        <f>Assumptions!B2*0.0128</f>
        <v>2112000</v>
      </c>
      <c r="C30" s="2">
        <v>693000000</v>
      </c>
      <c r="D30" s="2">
        <v>560000000</v>
      </c>
      <c r="E30" s="2">
        <v>86625000</v>
      </c>
      <c r="F30" s="2">
        <f t="shared" si="0"/>
        <v>46375000</v>
      </c>
      <c r="G30" s="2">
        <f t="shared" si="1"/>
        <v>44263000</v>
      </c>
      <c r="H30" s="2">
        <f t="shared" si="2"/>
        <v>11065750</v>
      </c>
      <c r="I30" s="2">
        <f t="shared" si="3"/>
        <v>33197250</v>
      </c>
      <c r="J30" s="2">
        <f t="shared" si="4"/>
        <v>35309250</v>
      </c>
      <c r="K30" s="2">
        <f t="shared" si="5"/>
        <v>854087975</v>
      </c>
    </row>
    <row r="31" spans="1:11" x14ac:dyDescent="0.3">
      <c r="A31" s="2">
        <v>29</v>
      </c>
      <c r="B31" s="2">
        <f>Assumptions!B2*0.0118</f>
        <v>1947000</v>
      </c>
      <c r="C31" s="2">
        <v>693000000</v>
      </c>
      <c r="D31" s="2">
        <v>560000000</v>
      </c>
      <c r="E31" s="2">
        <v>86625000</v>
      </c>
      <c r="F31" s="2">
        <f t="shared" si="0"/>
        <v>46375000</v>
      </c>
      <c r="G31" s="2">
        <f t="shared" si="1"/>
        <v>44428000</v>
      </c>
      <c r="H31" s="2">
        <f t="shared" si="2"/>
        <v>11107000</v>
      </c>
      <c r="I31" s="2">
        <f t="shared" si="3"/>
        <v>33321000</v>
      </c>
      <c r="J31" s="2">
        <f t="shared" si="4"/>
        <v>35268000</v>
      </c>
      <c r="K31" s="2">
        <f t="shared" si="5"/>
        <v>889355975</v>
      </c>
    </row>
    <row r="32" spans="1:11" x14ac:dyDescent="0.3">
      <c r="A32" s="2">
        <v>30</v>
      </c>
      <c r="B32" s="2">
        <f>Assumptions!B2*0.01086</f>
        <v>1791900</v>
      </c>
      <c r="C32" s="2">
        <v>693000000</v>
      </c>
      <c r="D32" s="2">
        <v>560000000</v>
      </c>
      <c r="E32" s="2">
        <v>86625000</v>
      </c>
      <c r="F32" s="2">
        <f t="shared" si="0"/>
        <v>46375000</v>
      </c>
      <c r="G32" s="2">
        <f t="shared" si="1"/>
        <v>44583100</v>
      </c>
      <c r="H32" s="2">
        <f t="shared" si="2"/>
        <v>11145775</v>
      </c>
      <c r="I32" s="2">
        <f t="shared" si="3"/>
        <v>33437325</v>
      </c>
      <c r="J32" s="2">
        <f t="shared" si="4"/>
        <v>35229225</v>
      </c>
      <c r="K32" s="2">
        <f t="shared" si="5"/>
        <v>924585200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Depreciation Rate (MACRS)</vt:lpstr>
      <vt:lpstr>Charleston, SC</vt:lpstr>
      <vt:lpstr>Wichita, 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Krishnagiri Pachiyappan</cp:lastModifiedBy>
  <dcterms:created xsi:type="dcterms:W3CDTF">2025-05-08T05:40:44Z</dcterms:created>
  <dcterms:modified xsi:type="dcterms:W3CDTF">2025-05-09T01:57:12Z</dcterms:modified>
</cp:coreProperties>
</file>