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EM\Spring 2025\Project Budgeting &amp; Finance MIE 645\Individual project - Boeing Co\"/>
    </mc:Choice>
  </mc:AlternateContent>
  <xr:revisionPtr revIDLastSave="0" documentId="13_ncr:1_{F1BA8AEB-26BE-422B-A799-320AFFDE2132}" xr6:coauthVersionLast="47" xr6:coauthVersionMax="47" xr10:uidLastSave="{00000000-0000-0000-0000-000000000000}"/>
  <bookViews>
    <workbookView xWindow="-108" yWindow="-108" windowWidth="23256" windowHeight="12456" xr2:uid="{24D80DF9-349C-4025-9AE4-1A626200D204}"/>
  </bookViews>
  <sheets>
    <sheet name="Financial Report" sheetId="4" r:id="rId1"/>
    <sheet name="Charts" sheetId="5" r:id="rId2"/>
    <sheet name="SEC links" sheetId="1" r:id="rId3"/>
  </sheets>
  <definedNames>
    <definedName name="_xlnm._FilterDatabase" localSheetId="0" hidden="1">'Financial Report'!$A$29:$X$41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<sst xmlns="http://schemas.openxmlformats.org/spreadsheetml/2006/main" count="317" uniqueCount="209">
  <si>
    <t>Year</t>
  </si>
  <si>
    <t>Financial Report 2024</t>
  </si>
  <si>
    <t>Financial Report 2023</t>
  </si>
  <si>
    <t>Financial Report 2022</t>
  </si>
  <si>
    <t>Financial Report 2021</t>
  </si>
  <si>
    <t>Financial Report 2020</t>
  </si>
  <si>
    <t>Financial Report 2019</t>
  </si>
  <si>
    <t>Financial Report 2018</t>
  </si>
  <si>
    <t>Financial Report 2017</t>
  </si>
  <si>
    <t>Financial Report 2016</t>
  </si>
  <si>
    <t>Financial Report Links</t>
  </si>
  <si>
    <t>Return on Investment</t>
  </si>
  <si>
    <t>Debt Ratio</t>
  </si>
  <si>
    <t>Date</t>
  </si>
  <si>
    <t>Shareholder's Equity</t>
  </si>
  <si>
    <t>Return on Equity</t>
  </si>
  <si>
    <t>$-11.88B</t>
  </si>
  <si>
    <t>$-3.91B</t>
  </si>
  <si>
    <t>$-2.22B</t>
  </si>
  <si>
    <t>$-17.23B</t>
  </si>
  <si>
    <t>$-4.94B</t>
  </si>
  <si>
    <t>$-15.85B</t>
  </si>
  <si>
    <t>$-4.20B</t>
  </si>
  <si>
    <t>$-14.85B</t>
  </si>
  <si>
    <t>$-11.87B</t>
  </si>
  <si>
    <t>$-18.08B</t>
  </si>
  <si>
    <t>$-0.64B</t>
  </si>
  <si>
    <t>$-8.30B</t>
  </si>
  <si>
    <t>$10.45B</t>
  </si>
  <si>
    <t>$0.41B</t>
  </si>
  <si>
    <t>$8.45B</t>
  </si>
  <si>
    <t>$1.71B</t>
  </si>
  <si>
    <t>$-1.98B</t>
  </si>
  <si>
    <t>$5.03B</t>
  </si>
  <si>
    <t>$0.88B</t>
  </si>
  <si>
    <t>$5.17B</t>
  </si>
  <si>
    <t>$6.40B</t>
  </si>
  <si>
    <t>Revenue</t>
  </si>
  <si>
    <t>Total Assets</t>
  </si>
  <si>
    <t>(Millions of US $)</t>
  </si>
  <si>
    <t>(Millions of Shares)</t>
  </si>
  <si>
    <t>Revenue &amp; Profit</t>
  </si>
  <si>
    <t>Assets &amp; Liabilities</t>
  </si>
  <si>
    <t>Margins</t>
  </si>
  <si>
    <t>Receivables</t>
  </si>
  <si>
    <t>Inventory</t>
  </si>
  <si>
    <t>Long Term Debt</t>
  </si>
  <si>
    <t>Gross Margin</t>
  </si>
  <si>
    <t>$66.52B</t>
  </si>
  <si>
    <t>$-1.99B</t>
  </si>
  <si>
    <t>$77.79B</t>
  </si>
  <si>
    <t>$7.72B</t>
  </si>
  <si>
    <t>$66.61B</t>
  </si>
  <si>
    <t>$3.53B</t>
  </si>
  <si>
    <t>$62.29B</t>
  </si>
  <si>
    <t>$3.05B</t>
  </si>
  <si>
    <t>$58.16B</t>
  </si>
  <si>
    <t>$-5.64B</t>
  </si>
  <si>
    <t>$76.56B</t>
  </si>
  <si>
    <t>$4.53B</t>
  </si>
  <si>
    <t>$101.13B</t>
  </si>
  <si>
    <t>$19.71B</t>
  </si>
  <si>
    <t>$94.01B</t>
  </si>
  <si>
    <t>$17.46B</t>
  </si>
  <si>
    <t>$93.50B</t>
  </si>
  <si>
    <t>$14.53B</t>
  </si>
  <si>
    <t>$96.11B</t>
  </si>
  <si>
    <t>$14.09B</t>
  </si>
  <si>
    <t>Net Margin</t>
  </si>
  <si>
    <t>Ratios</t>
  </si>
  <si>
    <t>Current Assets</t>
  </si>
  <si>
    <t>Current Liabilities</t>
  </si>
  <si>
    <t>Current Ratio</t>
  </si>
  <si>
    <t>$128.00B</t>
  </si>
  <si>
    <t>$97.08B</t>
  </si>
  <si>
    <t>$109.28B</t>
  </si>
  <si>
    <t>$95.83B</t>
  </si>
  <si>
    <t>$109.52B</t>
  </si>
  <si>
    <t>$90.05B</t>
  </si>
  <si>
    <t>$108.67B</t>
  </si>
  <si>
    <t>$81.99B</t>
  </si>
  <si>
    <t>$121.64B</t>
  </si>
  <si>
    <t>$87.28B</t>
  </si>
  <si>
    <t>$102.23B</t>
  </si>
  <si>
    <t>$97.31B</t>
  </si>
  <si>
    <t>$87.83B</t>
  </si>
  <si>
    <t>$81.59B</t>
  </si>
  <si>
    <t>$85.19B</t>
  </si>
  <si>
    <t>$74.65B</t>
  </si>
  <si>
    <t>$62.49B</t>
  </si>
  <si>
    <t>$50.13B</t>
  </si>
  <si>
    <t>$68.23B</t>
  </si>
  <si>
    <t>$50.41B</t>
  </si>
  <si>
    <t>Current Assets - Inventory</t>
  </si>
  <si>
    <t>Quick Ratio</t>
  </si>
  <si>
    <t>$40.45B</t>
  </si>
  <si>
    <t>$29.53B</t>
  </si>
  <si>
    <t>$31.37B</t>
  </si>
  <si>
    <t>$29.84B</t>
  </si>
  <si>
    <t>$39.93B</t>
  </si>
  <si>
    <t>$25.61B</t>
  </si>
  <si>
    <t>$25.26B</t>
  </si>
  <si>
    <t>$23.81B</t>
  </si>
  <si>
    <t>$19.29B</t>
  </si>
  <si>
    <t>$20.98B</t>
  </si>
  <si>
    <t>Debt to Equity Ratio</t>
  </si>
  <si>
    <t>Return on Assets</t>
  </si>
  <si>
    <t>$156.36B</t>
  </si>
  <si>
    <t>$137.01B</t>
  </si>
  <si>
    <t>$137.10B</t>
  </si>
  <si>
    <t>$138.55B</t>
  </si>
  <si>
    <t>$152.14B</t>
  </si>
  <si>
    <t>$133.63B</t>
  </si>
  <si>
    <t>$117.36B</t>
  </si>
  <si>
    <t>$112.36B</t>
  </si>
  <si>
    <t>$90.00B</t>
  </si>
  <si>
    <t>$94.41B</t>
  </si>
  <si>
    <t>$-10.71B</t>
  </si>
  <si>
    <t>$48.67B</t>
  </si>
  <si>
    <t>$-0.77B</t>
  </si>
  <si>
    <t>$29.88B</t>
  </si>
  <si>
    <t>$-3.52B</t>
  </si>
  <si>
    <t>$35.96B</t>
  </si>
  <si>
    <t>$-2.87B</t>
  </si>
  <si>
    <t>$41.96B</t>
  </si>
  <si>
    <t>$-12.77B</t>
  </si>
  <si>
    <t>$43.82B</t>
  </si>
  <si>
    <t>$11.66B</t>
  </si>
  <si>
    <t>$11.99B</t>
  </si>
  <si>
    <t>$11.07B</t>
  </si>
  <si>
    <t>$10.34B</t>
  </si>
  <si>
    <t>$11.50B</t>
  </si>
  <si>
    <t>$6.53B</t>
  </si>
  <si>
    <t>$7.44B</t>
  </si>
  <si>
    <t>$15.13B</t>
  </si>
  <si>
    <t>$52.58B</t>
  </si>
  <si>
    <t>$47.10B</t>
  </si>
  <si>
    <t>$51.81B</t>
  </si>
  <si>
    <t>$56.81B</t>
  </si>
  <si>
    <t>$61.89B</t>
  </si>
  <si>
    <t>$19.96B</t>
  </si>
  <si>
    <t>$10.66B</t>
  </si>
  <si>
    <t>$97.82B</t>
  </si>
  <si>
    <t>$95.68B</t>
  </si>
  <si>
    <t>$87.3B</t>
  </si>
  <si>
    <t>ROA - Return on Assets</t>
  </si>
  <si>
    <t xml:space="preserve"> ROI - Return on Investment </t>
  </si>
  <si>
    <t xml:space="preserve"> Current Ratio </t>
  </si>
  <si>
    <t xml:space="preserve"> Quick Ratio </t>
  </si>
  <si>
    <t xml:space="preserve"> Debt/Equity Ratio </t>
  </si>
  <si>
    <t xml:space="preserve"> Debt Ratio </t>
  </si>
  <si>
    <t xml:space="preserve"> ROE - Return on Equity </t>
  </si>
  <si>
    <t xml:space="preserve"> Annual Revenue</t>
  </si>
  <si>
    <t xml:space="preserve"> Annual Gross Profit</t>
  </si>
  <si>
    <t xml:space="preserve"> Annual Operating Income</t>
  </si>
  <si>
    <t xml:space="preserve"> Annual Net Income</t>
  </si>
  <si>
    <t xml:space="preserve"> Annual EPS</t>
  </si>
  <si>
    <t xml:space="preserve"> Annual Shares Outstanding</t>
  </si>
  <si>
    <t xml:space="preserve"> Annual Total Assets</t>
  </si>
  <si>
    <t xml:space="preserve"> Annual Long Term Debt</t>
  </si>
  <si>
    <t xml:space="preserve"> Annual Total Liabilities</t>
  </si>
  <si>
    <t xml:space="preserve"> Annual Share Holder Equity</t>
  </si>
  <si>
    <t>Annual Cost of Goods Sold</t>
  </si>
  <si>
    <t>Annual Inventory</t>
  </si>
  <si>
    <t>Inventory Turnover Ratio</t>
  </si>
  <si>
    <t>Cost of Goods Sold</t>
  </si>
  <si>
    <t>70.07B</t>
  </si>
  <si>
    <t>63.8B</t>
  </si>
  <si>
    <t>87.55B</t>
  </si>
  <si>
    <t>Days of Sales Outstanding</t>
  </si>
  <si>
    <t>9.26B</t>
  </si>
  <si>
    <t>$8.73B</t>
  </si>
  <si>
    <t>$9.78B</t>
  </si>
  <si>
    <t>$9.57B</t>
  </si>
  <si>
    <t>68.50B</t>
  </si>
  <si>
    <t>63.08B</t>
  </si>
  <si>
    <t>59.24B</t>
  </si>
  <si>
    <t>72.03B</t>
  </si>
  <si>
    <t>81.42B</t>
  </si>
  <si>
    <t>76.54B</t>
  </si>
  <si>
    <t>78.97B</t>
  </si>
  <si>
    <t>82.02B</t>
  </si>
  <si>
    <t>79.74B</t>
  </si>
  <si>
    <t>78.15B</t>
  </si>
  <si>
    <t>78.82B</t>
  </si>
  <si>
    <t>81.72B</t>
  </si>
  <si>
    <t>76.62B</t>
  </si>
  <si>
    <t>62.57B</t>
  </si>
  <si>
    <t>61.39B</t>
  </si>
  <si>
    <t>43.20B</t>
  </si>
  <si>
    <t>47.26B</t>
  </si>
  <si>
    <t>11.20B</t>
  </si>
  <si>
    <t>11.31B</t>
  </si>
  <si>
    <t>11.07B</t>
  </si>
  <si>
    <t>11.38B</t>
  </si>
  <si>
    <t>10.05B</t>
  </si>
  <si>
    <t>12.47B</t>
  </si>
  <si>
    <t>14.36B</t>
  </si>
  <si>
    <t>11.40B</t>
  </si>
  <si>
    <t>8.93B</t>
  </si>
  <si>
    <t>Annual Receivables</t>
  </si>
  <si>
    <t xml:space="preserve"> Gross Margin</t>
  </si>
  <si>
    <t xml:space="preserve"> Net Profit Margin</t>
  </si>
  <si>
    <t xml:space="preserve"> Revenue</t>
  </si>
  <si>
    <t xml:space="preserve"> Gross Profit</t>
  </si>
  <si>
    <t xml:space="preserve"> Net Income</t>
  </si>
  <si>
    <t>Investments &amp; Debt</t>
  </si>
  <si>
    <t>The Boeing Company Financial Statements (10-K)</t>
  </si>
  <si>
    <t>Financial Report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</si>
</sst>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444444"/>
      <name val="Arial"/>
      <family val="2"/>
    </font>
    <font>
      <sz val="8"/>
      <color rgb="FF444444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1"/>
    <xf numFmtId="0" fontId="4" fillId="2" borderId="0" xfId="0" applyFont="1" applyFill="1" applyAlignment="1">
      <alignment horizontal="center" vertical="center" wrapText="1"/>
    </xf>
    <xf numFmtId="8" fontId="4" fillId="2" borderId="0" xfId="0" applyNumberFormat="1" applyFont="1" applyFill="1" applyAlignment="1">
      <alignment horizontal="center" vertical="center" wrapText="1"/>
    </xf>
    <xf numFmtId="40" fontId="4" fillId="2" borderId="0" xfId="0" applyNumberFormat="1" applyFont="1" applyFill="1" applyAlignment="1">
      <alignment horizontal="center" vertical="center" wrapText="1"/>
    </xf>
    <xf numFmtId="38" fontId="4" fillId="2" borderId="0" xfId="0" applyNumberFormat="1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6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8" fontId="4" fillId="2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40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6" fontId="5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0" fontId="2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Report'!$D$31</c:f>
              <c:strCache>
                <c:ptCount val="1"/>
                <c:pt idx="0">
                  <c:v>Return on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5.6416666666666768E-2"/>
                  <c:y val="9.9502405949256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48-4C1A-961B-1C594F5D1559}"/>
                </c:ext>
              </c:extLst>
            </c:dLbl>
            <c:dLbl>
              <c:idx val="8"/>
              <c:layout>
                <c:manualLayout>
                  <c:x val="1.0250000000000101E-2"/>
                  <c:y val="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8-4C1A-961B-1C594F5D15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Report'!$A$32:$C$41</c15:sqref>
                  </c15:fullRef>
                  <c15:levelRef>
                    <c15:sqref>'Financial Report'!$A$32:$A$41</c15:sqref>
                  </c15:levelRef>
                </c:ext>
              </c:extLst>
              <c:f>'Financial Report'!$A$32:$A$41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Report'!$D$32:$D$41</c:f>
              <c:numCache>
                <c:formatCode>0.00%</c:formatCode>
                <c:ptCount val="10"/>
                <c:pt idx="0">
                  <c:v>5.3100000000000001E-2</c:v>
                </c:pt>
                <c:pt idx="1">
                  <c:v>5.5899999999999998E-2</c:v>
                </c:pt>
                <c:pt idx="2">
                  <c:v>8.8300000000000003E-2</c:v>
                </c:pt>
                <c:pt idx="3">
                  <c:v>9.11E-2</c:v>
                </c:pt>
                <c:pt idx="4">
                  <c:v>-5.0000000000000001E-3</c:v>
                </c:pt>
                <c:pt idx="5">
                  <c:v>-7.6700000000000004E-2</c:v>
                </c:pt>
                <c:pt idx="6">
                  <c:v>-2.8799999999999999E-2</c:v>
                </c:pt>
                <c:pt idx="7">
                  <c:v>-3.6200000000000003E-2</c:v>
                </c:pt>
                <c:pt idx="8">
                  <c:v>-1.6400000000000001E-2</c:v>
                </c:pt>
                <c:pt idx="9">
                  <c:v>-8.3099999999999993E-2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8-4C1A-961B-1C594F5D155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9582208"/>
        <c:axId val="1228941808"/>
      </c:lineChart>
      <c:catAx>
        <c:axId val="104958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41808"/>
        <c:crosses val="autoZero"/>
        <c:auto val="1"/>
        <c:lblAlgn val="ctr"/>
        <c:lblOffset val="100"/>
        <c:noMultiLvlLbl val="0"/>
      </c:catAx>
      <c:valAx>
        <c:axId val="12289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8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Report'!$I$31</c:f>
              <c:strCache>
                <c:ptCount val="1"/>
                <c:pt idx="0">
                  <c:v>Return on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2812554680664915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2C-40AE-9ED2-476A28CCFBD0}"/>
                </c:ext>
              </c:extLst>
            </c:dLbl>
            <c:dLbl>
              <c:idx val="4"/>
              <c:layout>
                <c:manualLayout>
                  <c:x val="-0.10441666666666667"/>
                  <c:y val="5.7905001458151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2C-40AE-9ED2-476A28CCFBD0}"/>
                </c:ext>
              </c:extLst>
            </c:dLbl>
            <c:dLbl>
              <c:idx val="5"/>
              <c:layout>
                <c:manualLayout>
                  <c:x val="-1.6388888888888889E-3"/>
                  <c:y val="2.0867964421114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2C-40AE-9ED2-476A28CCFBD0}"/>
                </c:ext>
              </c:extLst>
            </c:dLbl>
            <c:dLbl>
              <c:idx val="9"/>
              <c:layout>
                <c:manualLayout>
                  <c:x val="-2.766666666666677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2C-40AE-9ED2-476A28CCFB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Report'!$F$32:$H$41</c15:sqref>
                  </c15:fullRef>
                  <c15:levelRef>
                    <c15:sqref>'Financial Report'!$F$32:$F$41</c15:sqref>
                  </c15:levelRef>
                </c:ext>
              </c:extLst>
              <c:f>'Financial Report'!$F$32:$F$41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Report'!$I$32:$I$41</c:f>
              <c:numCache>
                <c:formatCode>0.00%</c:formatCode>
                <c:ptCount val="10"/>
                <c:pt idx="0">
                  <c:v>0.47660000000000002</c:v>
                </c:pt>
                <c:pt idx="1">
                  <c:v>0.57079999999999997</c:v>
                </c:pt>
                <c:pt idx="2">
                  <c:v>1.0071000000000001</c:v>
                </c:pt>
                <c:pt idx="3">
                  <c:v>1.1625000000000001</c:v>
                </c:pt>
                <c:pt idx="4">
                  <c:v>-0.15909999999999999</c:v>
                </c:pt>
                <c:pt idx="5">
                  <c:v>-0.31709999999999999</c:v>
                </c:pt>
                <c:pt idx="6">
                  <c:v>-6.9599999999999995E-2</c:v>
                </c:pt>
                <c:pt idx="7">
                  <c:v>-9.5799999999999996E-2</c:v>
                </c:pt>
                <c:pt idx="8">
                  <c:v>-2.4799999999999999E-2</c:v>
                </c:pt>
                <c:pt idx="9">
                  <c:v>-0.29880000000000001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C-40AE-9ED2-476A28CCFB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27400704"/>
        <c:axId val="1227402144"/>
      </c:lineChart>
      <c:catAx>
        <c:axId val="122740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02144"/>
        <c:crosses val="autoZero"/>
        <c:auto val="1"/>
        <c:lblAlgn val="ctr"/>
        <c:lblOffset val="100"/>
        <c:noMultiLvlLbl val="0"/>
      </c:catAx>
      <c:valAx>
        <c:axId val="12274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Report'!$S$31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5.6972222222222223E-2"/>
                  <c:y val="-5.78357392825896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2A-42F4-87E3-13ACB641D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Report'!$P$32:$R$41</c15:sqref>
                  </c15:fullRef>
                  <c15:levelRef>
                    <c15:sqref>'Financial Report'!$P$32:$P$41</c15:sqref>
                  </c15:levelRef>
                </c:ext>
              </c:extLst>
              <c:f>'Financial Report'!$P$32:$P$41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Report'!$S$32:$S$41</c:f>
              <c:numCache>
                <c:formatCode>General</c:formatCode>
                <c:ptCount val="10"/>
                <c:pt idx="0">
                  <c:v>0.42</c:v>
                </c:pt>
                <c:pt idx="1">
                  <c:v>0.39</c:v>
                </c:pt>
                <c:pt idx="2">
                  <c:v>0.32</c:v>
                </c:pt>
                <c:pt idx="3">
                  <c:v>0.31</c:v>
                </c:pt>
                <c:pt idx="4">
                  <c:v>0.26</c:v>
                </c:pt>
                <c:pt idx="5">
                  <c:v>0.46</c:v>
                </c:pt>
                <c:pt idx="6">
                  <c:v>0.36</c:v>
                </c:pt>
                <c:pt idx="7">
                  <c:v>0.35</c:v>
                </c:pt>
                <c:pt idx="8">
                  <c:v>0.31</c:v>
                </c:pt>
                <c:pt idx="9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A-42F4-87E3-13ACB641D9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3938560"/>
        <c:axId val="1043937600"/>
      </c:lineChart>
      <c:catAx>
        <c:axId val="104393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37600"/>
        <c:crosses val="autoZero"/>
        <c:auto val="1"/>
        <c:lblAlgn val="ctr"/>
        <c:lblOffset val="100"/>
        <c:noMultiLvlLbl val="0"/>
      </c:catAx>
      <c:valAx>
        <c:axId val="10439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Quick</a:t>
                </a:r>
                <a:r>
                  <a:rPr lang="en-US" baseline="0"/>
                  <a:t>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Report'!$D$45</c:f>
              <c:strCache>
                <c:ptCount val="1"/>
                <c:pt idx="0">
                  <c:v>Debt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Report'!$A$46:$C$55</c15:sqref>
                  </c15:fullRef>
                  <c15:levelRef>
                    <c15:sqref>'Financial Report'!$A$46:$A$55</c15:sqref>
                  </c15:levelRef>
                </c:ext>
              </c:extLst>
              <c:f>'Financial Report'!$A$46:$A$55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Report'!$D$46:$D$55</c:f>
              <c:numCache>
                <c:formatCode>0.00</c:formatCode>
                <c:ptCount val="10"/>
                <c:pt idx="0">
                  <c:v>0.09</c:v>
                </c:pt>
                <c:pt idx="1">
                  <c:v>0.11</c:v>
                </c:pt>
                <c:pt idx="2">
                  <c:v>0.09</c:v>
                </c:pt>
                <c:pt idx="3">
                  <c:v>0.09</c:v>
                </c:pt>
                <c:pt idx="4">
                  <c:v>0.15</c:v>
                </c:pt>
                <c:pt idx="5">
                  <c:v>0.41</c:v>
                </c:pt>
                <c:pt idx="6">
                  <c:v>0.41</c:v>
                </c:pt>
                <c:pt idx="7">
                  <c:v>0.38</c:v>
                </c:pt>
                <c:pt idx="8">
                  <c:v>0.34</c:v>
                </c:pt>
                <c:pt idx="9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7-4781-A4CE-99AFA39242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0772944"/>
        <c:axId val="1330776304"/>
      </c:lineChart>
      <c:catAx>
        <c:axId val="133077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76304"/>
        <c:crosses val="autoZero"/>
        <c:auto val="1"/>
        <c:lblAlgn val="ctr"/>
        <c:lblOffset val="100"/>
        <c:noMultiLvlLbl val="0"/>
      </c:catAx>
      <c:valAx>
        <c:axId val="13307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Debt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7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Report'!$N$45</c:f>
              <c:strCache>
                <c:ptCount val="1"/>
                <c:pt idx="0">
                  <c:v>Inventory Turnover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Report'!$K$46:$M$55</c15:sqref>
                  </c15:fullRef>
                  <c15:levelRef>
                    <c15:sqref>'Financial Report'!$K$46:$K$55</c15:sqref>
                  </c15:levelRef>
                </c:ext>
              </c:extLst>
              <c:f>'Financial Report'!$K$46:$K$55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Report'!$N$46:$N$55</c:f>
              <c:numCache>
                <c:formatCode>0.00</c:formatCode>
                <c:ptCount val="10"/>
                <c:pt idx="0">
                  <c:v>1.735700531</c:v>
                </c:pt>
                <c:pt idx="1">
                  <c:v>1.827982129</c:v>
                </c:pt>
                <c:pt idx="2">
                  <c:v>1.2468560630000001</c:v>
                </c:pt>
                <c:pt idx="3">
                  <c:v>1.301340962</c:v>
                </c:pt>
                <c:pt idx="4">
                  <c:v>0.94008248299999997</c:v>
                </c:pt>
                <c:pt idx="5">
                  <c:v>0.78076240600000002</c:v>
                </c:pt>
                <c:pt idx="6">
                  <c:v>0.75151922699999996</c:v>
                </c:pt>
                <c:pt idx="7">
                  <c:v>0.80712978700000004</c:v>
                </c:pt>
                <c:pt idx="8">
                  <c:v>0.87871985600000002</c:v>
                </c:pt>
                <c:pt idx="9">
                  <c:v>0.782501428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4-44A5-9776-CA2E29B591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4997328"/>
        <c:axId val="1234996848"/>
      </c:lineChart>
      <c:catAx>
        <c:axId val="123499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96848"/>
        <c:crosses val="autoZero"/>
        <c:auto val="1"/>
        <c:lblAlgn val="ctr"/>
        <c:lblOffset val="100"/>
        <c:noMultiLvlLbl val="0"/>
      </c:catAx>
      <c:valAx>
        <c:axId val="12349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Inventory Turnover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9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Report'!$S$45</c:f>
              <c:strCache>
                <c:ptCount val="1"/>
                <c:pt idx="0">
                  <c:v>Days of Sales Outstanding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Report'!$P$46:$R$55</c15:sqref>
                  </c15:fullRef>
                  <c15:levelRef>
                    <c15:sqref>'Financial Report'!$P$46:$P$55</c15:sqref>
                  </c15:levelRef>
                </c:ext>
              </c:extLst>
              <c:f>'Financial Report'!$P$46:$P$55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Report'!$S$46:$S$55</c:f>
              <c:numCache>
                <c:formatCode>0.00</c:formatCode>
                <c:ptCount val="10"/>
                <c:pt idx="0">
                  <c:v>33.89</c:v>
                </c:pt>
                <c:pt idx="1">
                  <c:v>36.15</c:v>
                </c:pt>
                <c:pt idx="2">
                  <c:v>44.25</c:v>
                </c:pt>
                <c:pt idx="3">
                  <c:v>51.84</c:v>
                </c:pt>
                <c:pt idx="4">
                  <c:v>59.46</c:v>
                </c:pt>
                <c:pt idx="5">
                  <c:v>63.08</c:v>
                </c:pt>
                <c:pt idx="6">
                  <c:v>66.67</c:v>
                </c:pt>
                <c:pt idx="7">
                  <c:v>61.95</c:v>
                </c:pt>
                <c:pt idx="8">
                  <c:v>51.92</c:v>
                </c:pt>
                <c:pt idx="9">
                  <c:v>61.46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E-4880-8400-D125D7C4C2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79392880"/>
        <c:axId val="1279393840"/>
      </c:lineChart>
      <c:catAx>
        <c:axId val="127939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93840"/>
        <c:crosses val="autoZero"/>
        <c:auto val="1"/>
        <c:lblAlgn val="ctr"/>
        <c:lblOffset val="100"/>
        <c:noMultiLvlLbl val="0"/>
      </c:catAx>
      <c:valAx>
        <c:axId val="12793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9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Report'!$I$45</c:f>
              <c:strCache>
                <c:ptCount val="1"/>
                <c:pt idx="0">
                  <c:v>Return on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1944444444444442E-3"/>
                  <c:y val="-5.7835739282589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04-4E60-962C-EECE4D49FC7C}"/>
                </c:ext>
              </c:extLst>
            </c:dLbl>
            <c:dLbl>
              <c:idx val="4"/>
              <c:layout>
                <c:manualLayout>
                  <c:x val="-8.197222222222228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04-4E60-962C-EECE4D49F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Report'!$F$46:$H$55</c15:sqref>
                  </c15:fullRef>
                  <c15:levelRef>
                    <c15:sqref>'Financial Report'!$F$46:$F$55</c15:sqref>
                  </c15:levelRef>
                </c:ext>
              </c:extLst>
              <c:f>'Financial Report'!$F$46:$F$55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Report'!$I$46:$I$55</c:f>
              <c:numCache>
                <c:formatCode>0.00</c:formatCode>
                <c:ptCount val="10"/>
                <c:pt idx="0">
                  <c:v>0.81</c:v>
                </c:pt>
                <c:pt idx="1">
                  <c:v>5.72</c:v>
                </c:pt>
                <c:pt idx="2">
                  <c:v>4.9400000000000004</c:v>
                </c:pt>
                <c:pt idx="3">
                  <c:v>25.49</c:v>
                </c:pt>
                <c:pt idx="4">
                  <c:v>0.08</c:v>
                </c:pt>
                <c:pt idx="5">
                  <c:v>0.66</c:v>
                </c:pt>
                <c:pt idx="6">
                  <c:v>0.28000000000000003</c:v>
                </c:pt>
                <c:pt idx="7">
                  <c:v>0.31</c:v>
                </c:pt>
                <c:pt idx="8">
                  <c:v>0.13</c:v>
                </c:pt>
                <c:pt idx="9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4-4E60-962C-EECE4D49FC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2024448"/>
        <c:axId val="1282024928"/>
      </c:lineChart>
      <c:catAx>
        <c:axId val="128202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24928"/>
        <c:crosses val="autoZero"/>
        <c:auto val="1"/>
        <c:lblAlgn val="ctr"/>
        <c:lblOffset val="100"/>
        <c:noMultiLvlLbl val="0"/>
      </c:catAx>
      <c:valAx>
        <c:axId val="12820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2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Report'!$N$31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Report'!$K$32:$M$41</c15:sqref>
                  </c15:fullRef>
                  <c15:levelRef>
                    <c15:sqref>'Financial Report'!$K$32:$K$41</c15:sqref>
                  </c15:levelRef>
                </c:ext>
              </c:extLst>
              <c:f>'Financial Report'!$K$32:$K$41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Report'!$N$32:$N$41</c:f>
              <c:numCache>
                <c:formatCode>General</c:formatCode>
                <c:ptCount val="10"/>
                <c:pt idx="0">
                  <c:v>1.35</c:v>
                </c:pt>
                <c:pt idx="1">
                  <c:v>1.25</c:v>
                </c:pt>
                <c:pt idx="2">
                  <c:v>1.1399999999999999</c:v>
                </c:pt>
                <c:pt idx="3">
                  <c:v>1.08</c:v>
                </c:pt>
                <c:pt idx="4">
                  <c:v>1.05</c:v>
                </c:pt>
                <c:pt idx="5">
                  <c:v>1.39</c:v>
                </c:pt>
                <c:pt idx="6">
                  <c:v>1.33</c:v>
                </c:pt>
                <c:pt idx="7">
                  <c:v>1.22</c:v>
                </c:pt>
                <c:pt idx="8">
                  <c:v>1.1399999999999999</c:v>
                </c:pt>
                <c:pt idx="9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6-406E-B7F9-5A45759AE61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28102496"/>
        <c:axId val="1228102976"/>
      </c:lineChart>
      <c:catAx>
        <c:axId val="122810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02976"/>
        <c:crosses val="autoZero"/>
        <c:auto val="1"/>
        <c:lblAlgn val="ctr"/>
        <c:lblOffset val="100"/>
        <c:noMultiLvlLbl val="0"/>
      </c:catAx>
      <c:valAx>
        <c:axId val="122810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0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Report'!$X$31</c:f>
              <c:strCache>
                <c:ptCount val="1"/>
                <c:pt idx="0">
                  <c:v>Debt to Equity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94444444444419E-3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D5-4948-8665-FF8656F2D0F3}"/>
                </c:ext>
              </c:extLst>
            </c:dLbl>
            <c:dLbl>
              <c:idx val="2"/>
              <c:layout>
                <c:manualLayout>
                  <c:x val="-2.163888888888894E-2"/>
                  <c:y val="-6.2465368912219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D5-4948-8665-FF8656F2D0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'Financial Report'!$U$32:$W$41</c15:sqref>
                  </c15:fullRef>
                  <c15:levelRef>
                    <c15:sqref>'Financial Report'!$U$32:$U$41</c15:sqref>
                  </c15:levelRef>
                </c:ext>
              </c:extLst>
              <c:f>'Financial Report'!$U$32:$U$41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'Financial Report'!$X$32:$X$41</c:f>
              <c:numCache>
                <c:formatCode>0.00</c:formatCode>
                <c:ptCount val="10"/>
                <c:pt idx="0">
                  <c:v>13.64</c:v>
                </c:pt>
                <c:pt idx="1">
                  <c:v>108.73</c:v>
                </c:pt>
                <c:pt idx="2">
                  <c:v>57.2</c:v>
                </c:pt>
                <c:pt idx="3">
                  <c:v>26</c:v>
                </c:pt>
                <c:pt idx="4">
                  <c:v>-2.4</c:v>
                </c:pt>
                <c:pt idx="5">
                  <c:v>-3.42</c:v>
                </c:pt>
                <c:pt idx="6">
                  <c:v>-3.83</c:v>
                </c:pt>
                <c:pt idx="7">
                  <c:v>-3.27</c:v>
                </c:pt>
                <c:pt idx="8">
                  <c:v>-2.73</c:v>
                </c:pt>
                <c:pt idx="9">
                  <c:v>-13.45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5-4948-8665-FF8656F2D0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4999248"/>
        <c:axId val="1234999728"/>
      </c:lineChart>
      <c:catAx>
        <c:axId val="123499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99728"/>
        <c:crosses val="autoZero"/>
        <c:auto val="1"/>
        <c:lblAlgn val="ctr"/>
        <c:lblOffset val="100"/>
        <c:noMultiLvlLbl val="0"/>
      </c:catAx>
      <c:valAx>
        <c:axId val="12349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Debt to Equity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9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67858-2CF4-4474-BD60-0333EDCC5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16</xdr:col>
      <xdr:colOff>304800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87F6F8-0EC4-466D-8D48-4EB6AC19C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DAD2C0-E6E2-4255-9415-6B18DCE61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20</xdr:row>
      <xdr:rowOff>0</xdr:rowOff>
    </xdr:from>
    <xdr:to>
      <xdr:col>24</xdr:col>
      <xdr:colOff>304800</xdr:colOff>
      <xdr:row>35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6BE877-3EE7-444F-8E30-132C4A43E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16</xdr:col>
      <xdr:colOff>304800</xdr:colOff>
      <xdr:row>51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C18840-F91D-4BF8-ACB5-2C9EB155D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36</xdr:row>
      <xdr:rowOff>0</xdr:rowOff>
    </xdr:from>
    <xdr:to>
      <xdr:col>24</xdr:col>
      <xdr:colOff>304800</xdr:colOff>
      <xdr:row>51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C261BF-92F3-43EF-A2DB-3E4FB8717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24</xdr:col>
      <xdr:colOff>304800</xdr:colOff>
      <xdr:row>18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F9A708-5E3C-4336-8A4B-70DFE97EC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304800</xdr:colOff>
      <xdr:row>35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C71A8E8-A14F-404F-9161-F839201F7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304800</xdr:colOff>
      <xdr:row>51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E626C88-91F4-4DE4-8167-54F3CDBF9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12927/000001292718000007/a201712dec3110k.htm" TargetMode="External"/><Relationship Id="rId3" Type="http://schemas.openxmlformats.org/officeDocument/2006/relationships/hyperlink" Target="https://www.sec.gov/ix?doc=/Archives/edgar/data/0000012927/000001292723000007/ba-20221231.htm" TargetMode="External"/><Relationship Id="rId7" Type="http://schemas.openxmlformats.org/officeDocument/2006/relationships/hyperlink" Target="https://www.sec.gov/ix?doc=/Archives/edgar/data/0000012927/000001292719000010/a201812dec3110k.htm" TargetMode="External"/><Relationship Id="rId2" Type="http://schemas.openxmlformats.org/officeDocument/2006/relationships/hyperlink" Target="https://www.sec.gov/ix?doc=/Archives/edgar/data/0000012927/000001292724000010/ba-20231231.htm" TargetMode="External"/><Relationship Id="rId1" Type="http://schemas.openxmlformats.org/officeDocument/2006/relationships/hyperlink" Target="https://www.sec.gov/ix?doc=/Archives/edgar/data/0000012927/000001292725000015/ba-20241231.htm" TargetMode="External"/><Relationship Id="rId6" Type="http://schemas.openxmlformats.org/officeDocument/2006/relationships/hyperlink" Target="https://www.sec.gov/ix?doc=/Archives/edgar/data/0000012927/000001292720000014/a201912dec3110k.htm" TargetMode="External"/><Relationship Id="rId5" Type="http://schemas.openxmlformats.org/officeDocument/2006/relationships/hyperlink" Target="https://www.sec.gov/ix?doc=/Archives/edgar/data/0000012927/000001292721000011/ba-20201231.htm" TargetMode="External"/><Relationship Id="rId10" Type="http://schemas.openxmlformats.org/officeDocument/2006/relationships/hyperlink" Target="https://www.sec.gov/Archives/edgar/data/12927/000001292716000099/a201512dec3110k.htm" TargetMode="External"/><Relationship Id="rId4" Type="http://schemas.openxmlformats.org/officeDocument/2006/relationships/hyperlink" Target="https://www.sec.gov/ix?doc=/Archives/edgar/data/0000012927/000001292722000010/ba-20211231.htm" TargetMode="External"/><Relationship Id="rId9" Type="http://schemas.openxmlformats.org/officeDocument/2006/relationships/hyperlink" Target="https://www.sec.gov/Archives/edgar/data/12927/000001292717000006/a201612dec3110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BE3D-F69A-42EA-AA7C-F339BC5F9A24}">
  <dimension ref="A1:X73"/>
  <sheetViews>
    <sheetView tabSelected="1" topLeftCell="C31" workbookViewId="0">
      <selection activeCell="T49" sqref="T49"/>
    </sheetView>
  </sheetViews>
  <sheetFormatPr defaultRowHeight="14.4" x14ac:dyDescent="0.3"/>
  <cols>
    <col min="1" max="7" width="8.88671875" style="21"/>
    <col min="8" max="8" width="10.5546875" style="21" customWidth="1"/>
    <col min="9" max="9" width="8.88671875" style="21"/>
    <col min="10" max="10" width="10.77734375" style="21" customWidth="1"/>
    <col min="11" max="16" width="8.88671875" style="21"/>
    <col min="17" max="17" width="9.77734375" style="21" customWidth="1"/>
    <col min="18" max="18" width="8.88671875" style="21"/>
    <col min="19" max="19" width="9.5546875" style="21" customWidth="1"/>
    <col min="20" max="22" width="8.88671875" style="21"/>
    <col min="23" max="23" width="10.6640625" style="21" customWidth="1"/>
    <col min="24" max="24" width="9.44140625" style="21" bestFit="1" customWidth="1"/>
    <col min="25" max="16384" width="8.88671875" style="21"/>
  </cols>
  <sheetData>
    <row r="1" spans="1:24" ht="21.6" customHeight="1" x14ac:dyDescent="0.3">
      <c r="A1" s="23" t="s">
        <v>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4" ht="24.6" customHeight="1" x14ac:dyDescent="0.3">
      <c r="A2" s="25" t="s">
        <v>152</v>
      </c>
      <c r="B2" s="25"/>
      <c r="D2" s="25" t="s">
        <v>153</v>
      </c>
      <c r="E2" s="25"/>
      <c r="G2" s="25" t="s">
        <v>154</v>
      </c>
      <c r="H2" s="25"/>
      <c r="J2" s="25" t="s">
        <v>155</v>
      </c>
      <c r="K2" s="25"/>
      <c r="M2" s="25" t="s">
        <v>156</v>
      </c>
      <c r="N2" s="25"/>
      <c r="P2" s="25" t="s">
        <v>157</v>
      </c>
      <c r="Q2" s="25"/>
      <c r="S2" s="25" t="s">
        <v>162</v>
      </c>
      <c r="T2" s="25"/>
      <c r="V2" s="25" t="s">
        <v>163</v>
      </c>
      <c r="W2" s="25"/>
    </row>
    <row r="3" spans="1:24" x14ac:dyDescent="0.3">
      <c r="A3" s="25" t="s">
        <v>39</v>
      </c>
      <c r="B3" s="25"/>
      <c r="D3" s="25" t="s">
        <v>39</v>
      </c>
      <c r="E3" s="25"/>
      <c r="G3" s="25" t="s">
        <v>39</v>
      </c>
      <c r="H3" s="25"/>
      <c r="J3" s="25" t="s">
        <v>39</v>
      </c>
      <c r="K3" s="25"/>
      <c r="M3" s="6">
        <v>2015</v>
      </c>
      <c r="N3" s="9">
        <v>7.44</v>
      </c>
      <c r="P3" s="25" t="s">
        <v>40</v>
      </c>
      <c r="Q3" s="25"/>
      <c r="S3" s="25" t="s">
        <v>39</v>
      </c>
      <c r="T3" s="25"/>
      <c r="V3" s="25" t="s">
        <v>39</v>
      </c>
      <c r="W3" s="25"/>
    </row>
    <row r="4" spans="1:24" x14ac:dyDescent="0.3">
      <c r="A4" s="6">
        <v>2015</v>
      </c>
      <c r="B4" s="7">
        <v>96114</v>
      </c>
      <c r="D4" s="6">
        <v>2015</v>
      </c>
      <c r="E4" s="8">
        <v>14090</v>
      </c>
      <c r="G4" s="6">
        <v>2015</v>
      </c>
      <c r="H4" s="8">
        <v>7443</v>
      </c>
      <c r="J4" s="6">
        <v>2015</v>
      </c>
      <c r="K4" s="8">
        <v>5172</v>
      </c>
      <c r="M4" s="6">
        <v>2016</v>
      </c>
      <c r="N4" s="9">
        <v>7.83</v>
      </c>
      <c r="P4" s="6">
        <v>2015</v>
      </c>
      <c r="Q4" s="6">
        <v>695</v>
      </c>
      <c r="S4" s="6">
        <v>2015</v>
      </c>
      <c r="T4" s="7">
        <v>82024</v>
      </c>
      <c r="V4" s="6">
        <v>2015</v>
      </c>
      <c r="W4" s="7">
        <v>47257</v>
      </c>
    </row>
    <row r="5" spans="1:24" x14ac:dyDescent="0.3">
      <c r="A5" s="6">
        <v>2016</v>
      </c>
      <c r="B5" s="7">
        <v>93496</v>
      </c>
      <c r="D5" s="6">
        <v>2016</v>
      </c>
      <c r="E5" s="8">
        <v>14529</v>
      </c>
      <c r="G5" s="6">
        <v>2016</v>
      </c>
      <c r="H5" s="8">
        <v>6527</v>
      </c>
      <c r="J5" s="6">
        <v>2016</v>
      </c>
      <c r="K5" s="8">
        <v>5031</v>
      </c>
      <c r="M5" s="6">
        <v>2017</v>
      </c>
      <c r="N5" s="9">
        <v>13.85</v>
      </c>
      <c r="P5" s="6">
        <v>2016</v>
      </c>
      <c r="Q5" s="6">
        <v>643</v>
      </c>
      <c r="S5" s="6">
        <v>2016</v>
      </c>
      <c r="T5" s="7">
        <v>78967</v>
      </c>
      <c r="V5" s="6">
        <v>2016</v>
      </c>
      <c r="W5" s="7">
        <v>43199</v>
      </c>
    </row>
    <row r="6" spans="1:24" x14ac:dyDescent="0.3">
      <c r="A6" s="6">
        <v>2017</v>
      </c>
      <c r="B6" s="7">
        <v>94005</v>
      </c>
      <c r="D6" s="6">
        <v>2017</v>
      </c>
      <c r="E6" s="8">
        <v>17463</v>
      </c>
      <c r="G6" s="6">
        <v>2017</v>
      </c>
      <c r="H6" s="8">
        <v>10344</v>
      </c>
      <c r="J6" s="6">
        <v>2017</v>
      </c>
      <c r="K6" s="8">
        <v>8452</v>
      </c>
      <c r="M6" s="6">
        <v>2018</v>
      </c>
      <c r="N6" s="9">
        <v>17.850000000000001</v>
      </c>
      <c r="P6" s="6">
        <v>2017</v>
      </c>
      <c r="Q6" s="6">
        <v>610</v>
      </c>
      <c r="S6" s="6">
        <v>2017</v>
      </c>
      <c r="T6" s="7">
        <v>76542</v>
      </c>
      <c r="V6" s="6">
        <v>2017</v>
      </c>
      <c r="W6" s="7">
        <v>61388</v>
      </c>
    </row>
    <row r="7" spans="1:24" x14ac:dyDescent="0.3">
      <c r="A7" s="6">
        <v>2018</v>
      </c>
      <c r="B7" s="7">
        <v>101127</v>
      </c>
      <c r="D7" s="6">
        <v>2018</v>
      </c>
      <c r="E7" s="8">
        <v>19706</v>
      </c>
      <c r="G7" s="6">
        <v>2018</v>
      </c>
      <c r="H7" s="8">
        <v>11987</v>
      </c>
      <c r="J7" s="6">
        <v>2018</v>
      </c>
      <c r="K7" s="8">
        <v>10453</v>
      </c>
      <c r="M7" s="6">
        <v>2019</v>
      </c>
      <c r="N7" s="9">
        <v>-1.1200000000000001</v>
      </c>
      <c r="P7" s="6">
        <v>2018</v>
      </c>
      <c r="Q7" s="6">
        <v>586</v>
      </c>
      <c r="S7" s="6">
        <v>2018</v>
      </c>
      <c r="T7" s="7">
        <v>81421</v>
      </c>
      <c r="V7" s="6">
        <v>2018</v>
      </c>
      <c r="W7" s="7">
        <v>62567</v>
      </c>
    </row>
    <row r="8" spans="1:24" x14ac:dyDescent="0.3">
      <c r="A8" s="6">
        <v>2019</v>
      </c>
      <c r="B8" s="7">
        <v>76559</v>
      </c>
      <c r="D8" s="6">
        <v>2019</v>
      </c>
      <c r="E8" s="8">
        <v>4528</v>
      </c>
      <c r="G8" s="6">
        <v>2019</v>
      </c>
      <c r="H8" s="8">
        <v>-1975</v>
      </c>
      <c r="J8" s="6">
        <v>2019</v>
      </c>
      <c r="K8" s="8">
        <v>-636</v>
      </c>
      <c r="M8" s="6">
        <v>2020</v>
      </c>
      <c r="N8" s="9">
        <v>-20.88</v>
      </c>
      <c r="P8" s="6">
        <v>2019</v>
      </c>
      <c r="Q8" s="6">
        <v>565</v>
      </c>
      <c r="S8" s="6">
        <v>2019</v>
      </c>
      <c r="T8" s="7">
        <v>72031</v>
      </c>
      <c r="V8" s="6">
        <v>2019</v>
      </c>
      <c r="W8" s="7">
        <v>76622</v>
      </c>
    </row>
    <row r="9" spans="1:24" x14ac:dyDescent="0.3">
      <c r="A9" s="6">
        <v>2020</v>
      </c>
      <c r="B9" s="7">
        <v>58158</v>
      </c>
      <c r="D9" s="6">
        <v>2020</v>
      </c>
      <c r="E9" s="8">
        <v>-5642</v>
      </c>
      <c r="G9" s="6">
        <v>2020</v>
      </c>
      <c r="H9" s="8">
        <v>-12767</v>
      </c>
      <c r="J9" s="6">
        <v>2020</v>
      </c>
      <c r="K9" s="8">
        <v>-11873</v>
      </c>
      <c r="M9" s="6">
        <v>2021</v>
      </c>
      <c r="N9" s="9">
        <v>-7.15</v>
      </c>
      <c r="P9" s="6">
        <v>2020</v>
      </c>
      <c r="Q9" s="6">
        <v>569</v>
      </c>
      <c r="S9" s="6">
        <v>2020</v>
      </c>
      <c r="T9" s="7">
        <v>63800</v>
      </c>
      <c r="V9" s="6">
        <v>2020</v>
      </c>
      <c r="W9" s="7">
        <v>81715</v>
      </c>
    </row>
    <row r="10" spans="1:24" x14ac:dyDescent="0.3">
      <c r="A10" s="6">
        <v>2021</v>
      </c>
      <c r="B10" s="7">
        <v>62286</v>
      </c>
      <c r="D10" s="6">
        <v>2021</v>
      </c>
      <c r="E10" s="8">
        <v>3049</v>
      </c>
      <c r="G10" s="6">
        <v>2021</v>
      </c>
      <c r="H10" s="8">
        <v>-2870</v>
      </c>
      <c r="J10" s="6">
        <v>2021</v>
      </c>
      <c r="K10" s="8">
        <v>-4202</v>
      </c>
      <c r="M10" s="6">
        <v>2022</v>
      </c>
      <c r="N10" s="9">
        <v>-8.3000000000000007</v>
      </c>
      <c r="P10" s="6">
        <v>2021</v>
      </c>
      <c r="Q10" s="6">
        <v>588</v>
      </c>
      <c r="S10" s="6">
        <v>2021</v>
      </c>
      <c r="T10" s="7">
        <v>59237</v>
      </c>
      <c r="V10" s="6">
        <v>2021</v>
      </c>
      <c r="W10" s="7">
        <v>78823</v>
      </c>
    </row>
    <row r="11" spans="1:24" x14ac:dyDescent="0.3">
      <c r="A11" s="6">
        <v>2022</v>
      </c>
      <c r="B11" s="7">
        <v>66608</v>
      </c>
      <c r="D11" s="6">
        <v>2022</v>
      </c>
      <c r="E11" s="8">
        <v>3530</v>
      </c>
      <c r="G11" s="6">
        <v>2022</v>
      </c>
      <c r="H11" s="8">
        <v>-3519</v>
      </c>
      <c r="J11" s="6">
        <v>2022</v>
      </c>
      <c r="K11" s="8">
        <v>-4935</v>
      </c>
      <c r="M11" s="6">
        <v>2023</v>
      </c>
      <c r="N11" s="9">
        <v>-3.67</v>
      </c>
      <c r="P11" s="6">
        <v>2022</v>
      </c>
      <c r="Q11" s="6">
        <v>595</v>
      </c>
      <c r="S11" s="6">
        <v>2022</v>
      </c>
      <c r="T11" s="7">
        <v>63078</v>
      </c>
      <c r="V11" s="6">
        <v>2022</v>
      </c>
      <c r="W11" s="7">
        <v>78151</v>
      </c>
    </row>
    <row r="12" spans="1:24" x14ac:dyDescent="0.3">
      <c r="A12" s="6">
        <v>2023</v>
      </c>
      <c r="B12" s="7">
        <v>77794</v>
      </c>
      <c r="D12" s="6">
        <v>2023</v>
      </c>
      <c r="E12" s="8">
        <v>7724</v>
      </c>
      <c r="G12" s="6">
        <v>2023</v>
      </c>
      <c r="H12" s="8">
        <v>-773</v>
      </c>
      <c r="J12" s="6">
        <v>2023</v>
      </c>
      <c r="K12" s="8">
        <v>-2222</v>
      </c>
      <c r="M12" s="6">
        <v>2024</v>
      </c>
      <c r="N12" s="9">
        <v>-18.36</v>
      </c>
      <c r="P12" s="6">
        <v>2023</v>
      </c>
      <c r="Q12" s="6">
        <v>606</v>
      </c>
      <c r="S12" s="6">
        <v>2023</v>
      </c>
      <c r="T12" s="7">
        <v>70070</v>
      </c>
      <c r="V12" s="6">
        <v>2023</v>
      </c>
      <c r="W12" s="7">
        <v>79741</v>
      </c>
    </row>
    <row r="13" spans="1:24" x14ac:dyDescent="0.3">
      <c r="A13" s="6">
        <v>2024</v>
      </c>
      <c r="B13" s="7">
        <v>66517</v>
      </c>
      <c r="D13" s="6">
        <v>2024</v>
      </c>
      <c r="E13" s="8">
        <v>-1991</v>
      </c>
      <c r="G13" s="6">
        <v>2024</v>
      </c>
      <c r="H13" s="8">
        <v>-10707</v>
      </c>
      <c r="J13" s="6">
        <v>2024</v>
      </c>
      <c r="K13" s="8">
        <v>-11875</v>
      </c>
      <c r="P13" s="6">
        <v>2024</v>
      </c>
      <c r="Q13" s="6">
        <v>647</v>
      </c>
      <c r="S13" s="6">
        <v>2024</v>
      </c>
      <c r="T13" s="7">
        <v>68508</v>
      </c>
      <c r="V13" s="6">
        <v>2024</v>
      </c>
      <c r="W13" s="7">
        <v>87550</v>
      </c>
    </row>
    <row r="14" spans="1:24" ht="12" customHeight="1" x14ac:dyDescent="0.3"/>
    <row r="15" spans="1:24" ht="13.8" customHeight="1" x14ac:dyDescent="0.3">
      <c r="A15" s="28" t="s">
        <v>42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P15" s="27" t="s">
        <v>43</v>
      </c>
      <c r="Q15" s="27"/>
      <c r="R15" s="27"/>
      <c r="S15" s="27"/>
      <c r="T15" s="27"/>
      <c r="U15" s="27"/>
      <c r="V15" s="27"/>
      <c r="W15" s="27"/>
      <c r="X15" s="27"/>
    </row>
    <row r="16" spans="1:24" ht="22.2" customHeight="1" x14ac:dyDescent="0.3">
      <c r="A16" s="25" t="s">
        <v>158</v>
      </c>
      <c r="B16" s="25"/>
      <c r="D16" s="25" t="s">
        <v>200</v>
      </c>
      <c r="E16" s="25"/>
      <c r="G16" s="25" t="s">
        <v>159</v>
      </c>
      <c r="H16" s="25"/>
      <c r="J16" s="25" t="s">
        <v>160</v>
      </c>
      <c r="K16" s="25"/>
      <c r="M16" s="25" t="s">
        <v>161</v>
      </c>
      <c r="N16" s="25"/>
      <c r="P16" s="29" t="s">
        <v>201</v>
      </c>
      <c r="Q16" s="29"/>
      <c r="R16" s="29"/>
      <c r="S16" s="29"/>
      <c r="U16" s="29" t="s">
        <v>202</v>
      </c>
      <c r="V16" s="29"/>
      <c r="W16" s="29"/>
      <c r="X16" s="29"/>
    </row>
    <row r="17" spans="1:24" ht="20.399999999999999" x14ac:dyDescent="0.3">
      <c r="A17" s="25" t="s">
        <v>39</v>
      </c>
      <c r="B17" s="25"/>
      <c r="D17" s="25" t="s">
        <v>39</v>
      </c>
      <c r="E17" s="25"/>
      <c r="G17" s="25" t="s">
        <v>39</v>
      </c>
      <c r="H17" s="25"/>
      <c r="J17" s="25" t="s">
        <v>39</v>
      </c>
      <c r="K17" s="25"/>
      <c r="M17" s="25" t="s">
        <v>39</v>
      </c>
      <c r="N17" s="25"/>
      <c r="P17" s="12" t="s">
        <v>13</v>
      </c>
      <c r="Q17" s="12" t="s">
        <v>203</v>
      </c>
      <c r="R17" s="12" t="s">
        <v>204</v>
      </c>
      <c r="S17" s="12" t="s">
        <v>47</v>
      </c>
      <c r="U17" s="12" t="s">
        <v>13</v>
      </c>
      <c r="V17" s="12" t="s">
        <v>203</v>
      </c>
      <c r="W17" s="12" t="s">
        <v>205</v>
      </c>
      <c r="X17" s="12" t="s">
        <v>68</v>
      </c>
    </row>
    <row r="18" spans="1:24" x14ac:dyDescent="0.3">
      <c r="A18" s="6">
        <v>2015</v>
      </c>
      <c r="B18" s="7">
        <v>94408</v>
      </c>
      <c r="D18" s="6">
        <v>2015</v>
      </c>
      <c r="E18" s="7">
        <v>8925</v>
      </c>
      <c r="G18" s="6">
        <v>2015</v>
      </c>
      <c r="H18" s="7">
        <v>8730</v>
      </c>
      <c r="J18" s="6">
        <v>2015</v>
      </c>
      <c r="K18" s="7">
        <v>88011</v>
      </c>
      <c r="M18" s="6">
        <v>2015</v>
      </c>
      <c r="N18" s="8">
        <v>6397</v>
      </c>
      <c r="P18" s="6">
        <v>2015</v>
      </c>
      <c r="Q18" s="13" t="s">
        <v>66</v>
      </c>
      <c r="R18" s="13" t="s">
        <v>67</v>
      </c>
      <c r="S18" s="14">
        <v>0.14660000000000001</v>
      </c>
      <c r="U18" s="6">
        <v>2015</v>
      </c>
      <c r="V18" s="13" t="s">
        <v>66</v>
      </c>
      <c r="W18" s="13" t="s">
        <v>35</v>
      </c>
      <c r="X18" s="14">
        <v>5.3800000000000001E-2</v>
      </c>
    </row>
    <row r="19" spans="1:24" x14ac:dyDescent="0.3">
      <c r="A19" s="6">
        <v>2016</v>
      </c>
      <c r="B19" s="7">
        <v>89997</v>
      </c>
      <c r="D19" s="6">
        <v>2016</v>
      </c>
      <c r="E19" s="7">
        <v>9260</v>
      </c>
      <c r="G19" s="6">
        <v>2016</v>
      </c>
      <c r="H19" s="7">
        <v>9568</v>
      </c>
      <c r="J19" s="6">
        <v>2016</v>
      </c>
      <c r="K19" s="7">
        <v>89120</v>
      </c>
      <c r="M19" s="6">
        <v>2016</v>
      </c>
      <c r="N19" s="8">
        <v>877</v>
      </c>
      <c r="P19" s="6">
        <v>2016</v>
      </c>
      <c r="Q19" s="13" t="s">
        <v>64</v>
      </c>
      <c r="R19" s="13" t="s">
        <v>65</v>
      </c>
      <c r="S19" s="14">
        <v>0.15540000000000001</v>
      </c>
      <c r="U19" s="6">
        <v>2016</v>
      </c>
      <c r="V19" s="13" t="s">
        <v>64</v>
      </c>
      <c r="W19" s="13" t="s">
        <v>33</v>
      </c>
      <c r="X19" s="14">
        <v>5.3800000000000001E-2</v>
      </c>
    </row>
    <row r="20" spans="1:24" x14ac:dyDescent="0.3">
      <c r="A20" s="6">
        <v>2017</v>
      </c>
      <c r="B20" s="7">
        <v>112362</v>
      </c>
      <c r="D20" s="6">
        <v>2017</v>
      </c>
      <c r="E20" s="7">
        <v>11397</v>
      </c>
      <c r="G20" s="6">
        <v>2017</v>
      </c>
      <c r="H20" s="7">
        <v>9782</v>
      </c>
      <c r="J20" s="6">
        <v>2017</v>
      </c>
      <c r="K20" s="7">
        <v>110649</v>
      </c>
      <c r="M20" s="6">
        <v>2017</v>
      </c>
      <c r="N20" s="8">
        <v>1713</v>
      </c>
      <c r="P20" s="6">
        <v>2017</v>
      </c>
      <c r="Q20" s="13" t="s">
        <v>62</v>
      </c>
      <c r="R20" s="13" t="s">
        <v>63</v>
      </c>
      <c r="S20" s="14">
        <v>0.18579999999999999</v>
      </c>
      <c r="U20" s="6">
        <v>2017</v>
      </c>
      <c r="V20" s="13" t="s">
        <v>62</v>
      </c>
      <c r="W20" s="13" t="s">
        <v>30</v>
      </c>
      <c r="X20" s="14">
        <v>8.9899999999999994E-2</v>
      </c>
    </row>
    <row r="21" spans="1:24" x14ac:dyDescent="0.3">
      <c r="A21" s="6">
        <v>2018</v>
      </c>
      <c r="B21" s="7">
        <v>117359</v>
      </c>
      <c r="D21" s="6">
        <v>2018</v>
      </c>
      <c r="E21" s="7">
        <v>14364</v>
      </c>
      <c r="G21" s="6">
        <v>2018</v>
      </c>
      <c r="H21" s="7">
        <v>10657</v>
      </c>
      <c r="J21" s="6">
        <v>2018</v>
      </c>
      <c r="K21" s="7">
        <v>116949</v>
      </c>
      <c r="M21" s="6">
        <v>2018</v>
      </c>
      <c r="N21" s="8">
        <v>410</v>
      </c>
      <c r="P21" s="6">
        <v>2018</v>
      </c>
      <c r="Q21" s="13" t="s">
        <v>60</v>
      </c>
      <c r="R21" s="13" t="s">
        <v>61</v>
      </c>
      <c r="S21" s="14">
        <v>0.19489999999999999</v>
      </c>
      <c r="U21" s="6">
        <v>2018</v>
      </c>
      <c r="V21" s="13" t="s">
        <v>60</v>
      </c>
      <c r="W21" s="13" t="s">
        <v>28</v>
      </c>
      <c r="X21" s="14">
        <v>0.10340000000000001</v>
      </c>
    </row>
    <row r="22" spans="1:24" x14ac:dyDescent="0.3">
      <c r="A22" s="6">
        <v>2019</v>
      </c>
      <c r="B22" s="7">
        <v>133625</v>
      </c>
      <c r="D22" s="6">
        <v>2019</v>
      </c>
      <c r="E22" s="7">
        <v>12471</v>
      </c>
      <c r="G22" s="6">
        <v>2019</v>
      </c>
      <c r="H22" s="7">
        <v>19962</v>
      </c>
      <c r="J22" s="6">
        <v>2019</v>
      </c>
      <c r="K22" s="7">
        <v>141925</v>
      </c>
      <c r="M22" s="6">
        <v>2019</v>
      </c>
      <c r="N22" s="8">
        <v>-8300</v>
      </c>
      <c r="P22" s="6">
        <v>2019</v>
      </c>
      <c r="Q22" s="13" t="s">
        <v>58</v>
      </c>
      <c r="R22" s="13" t="s">
        <v>59</v>
      </c>
      <c r="S22" s="14">
        <v>5.91E-2</v>
      </c>
      <c r="U22" s="6">
        <v>2019</v>
      </c>
      <c r="V22" s="13" t="s">
        <v>58</v>
      </c>
      <c r="W22" s="13" t="s">
        <v>26</v>
      </c>
      <c r="X22" s="14">
        <v>-8.3000000000000001E-3</v>
      </c>
    </row>
    <row r="23" spans="1:24" x14ac:dyDescent="0.3">
      <c r="A23" s="6">
        <v>2020</v>
      </c>
      <c r="B23" s="7">
        <v>152136</v>
      </c>
      <c r="D23" s="6">
        <v>2020</v>
      </c>
      <c r="E23" s="7">
        <v>10051</v>
      </c>
      <c r="G23" s="6">
        <v>2020</v>
      </c>
      <c r="H23" s="7">
        <v>61890</v>
      </c>
      <c r="J23" s="6">
        <v>2020</v>
      </c>
      <c r="K23" s="7">
        <v>170211</v>
      </c>
      <c r="M23" s="6">
        <v>2020</v>
      </c>
      <c r="N23" s="8">
        <v>-18075</v>
      </c>
      <c r="P23" s="6">
        <v>2020</v>
      </c>
      <c r="Q23" s="13" t="s">
        <v>56</v>
      </c>
      <c r="R23" s="13" t="s">
        <v>57</v>
      </c>
      <c r="S23" s="14">
        <v>-9.7000000000000003E-2</v>
      </c>
      <c r="U23" s="6">
        <v>2020</v>
      </c>
      <c r="V23" s="13" t="s">
        <v>56</v>
      </c>
      <c r="W23" s="13" t="s">
        <v>24</v>
      </c>
      <c r="X23" s="14">
        <v>-0.20419999999999999</v>
      </c>
    </row>
    <row r="24" spans="1:24" x14ac:dyDescent="0.3">
      <c r="A24" s="6">
        <v>2021</v>
      </c>
      <c r="B24" s="7">
        <v>138552</v>
      </c>
      <c r="D24" s="6">
        <v>2021</v>
      </c>
      <c r="E24" s="7">
        <v>11378</v>
      </c>
      <c r="G24" s="6">
        <v>2021</v>
      </c>
      <c r="H24" s="7">
        <v>56806</v>
      </c>
      <c r="J24" s="6">
        <v>2021</v>
      </c>
      <c r="K24" s="7">
        <v>153398</v>
      </c>
      <c r="M24" s="6">
        <v>2021</v>
      </c>
      <c r="N24" s="8">
        <v>-14846</v>
      </c>
      <c r="P24" s="6">
        <v>2021</v>
      </c>
      <c r="Q24" s="13" t="s">
        <v>54</v>
      </c>
      <c r="R24" s="13" t="s">
        <v>55</v>
      </c>
      <c r="S24" s="14">
        <v>4.9000000000000002E-2</v>
      </c>
      <c r="U24" s="6">
        <v>2021</v>
      </c>
      <c r="V24" s="13" t="s">
        <v>54</v>
      </c>
      <c r="W24" s="13" t="s">
        <v>22</v>
      </c>
      <c r="X24" s="14">
        <v>-6.7500000000000004E-2</v>
      </c>
    </row>
    <row r="25" spans="1:24" x14ac:dyDescent="0.3">
      <c r="A25" s="6">
        <v>2022</v>
      </c>
      <c r="B25" s="7">
        <v>137100</v>
      </c>
      <c r="D25" s="6">
        <v>2022</v>
      </c>
      <c r="E25" s="7">
        <v>11305</v>
      </c>
      <c r="G25" s="6">
        <v>2022</v>
      </c>
      <c r="H25" s="7">
        <v>51811</v>
      </c>
      <c r="J25" s="6">
        <v>2022</v>
      </c>
      <c r="K25" s="7">
        <v>152948</v>
      </c>
      <c r="M25" s="6">
        <v>2022</v>
      </c>
      <c r="N25" s="8">
        <v>-15848</v>
      </c>
      <c r="P25" s="6">
        <v>2022</v>
      </c>
      <c r="Q25" s="13" t="s">
        <v>52</v>
      </c>
      <c r="R25" s="13" t="s">
        <v>53</v>
      </c>
      <c r="S25" s="14">
        <v>5.2999999999999999E-2</v>
      </c>
      <c r="U25" s="6">
        <v>2022</v>
      </c>
      <c r="V25" s="13" t="s">
        <v>52</v>
      </c>
      <c r="W25" s="13" t="s">
        <v>20</v>
      </c>
      <c r="X25" s="14">
        <v>-7.4099999999999999E-2</v>
      </c>
    </row>
    <row r="26" spans="1:24" x14ac:dyDescent="0.3">
      <c r="A26" s="6">
        <v>2023</v>
      </c>
      <c r="B26" s="7">
        <v>137012</v>
      </c>
      <c r="D26" s="6">
        <v>2023</v>
      </c>
      <c r="E26" s="7">
        <v>11065</v>
      </c>
      <c r="G26" s="6">
        <v>2023</v>
      </c>
      <c r="H26" s="7">
        <v>47103</v>
      </c>
      <c r="J26" s="6">
        <v>2023</v>
      </c>
      <c r="K26" s="7">
        <v>154240</v>
      </c>
      <c r="M26" s="6">
        <v>2023</v>
      </c>
      <c r="N26" s="8">
        <v>-17228</v>
      </c>
      <c r="P26" s="6">
        <v>2023</v>
      </c>
      <c r="Q26" s="13" t="s">
        <v>50</v>
      </c>
      <c r="R26" s="13" t="s">
        <v>51</v>
      </c>
      <c r="S26" s="14">
        <v>9.9299999999999999E-2</v>
      </c>
      <c r="U26" s="6">
        <v>2023</v>
      </c>
      <c r="V26" s="13" t="s">
        <v>50</v>
      </c>
      <c r="W26" s="13" t="s">
        <v>18</v>
      </c>
      <c r="X26" s="14">
        <v>-2.86E-2</v>
      </c>
    </row>
    <row r="27" spans="1:24" x14ac:dyDescent="0.3">
      <c r="A27" s="6">
        <v>2024</v>
      </c>
      <c r="B27" s="7">
        <v>156363</v>
      </c>
      <c r="D27" s="6">
        <v>2024</v>
      </c>
      <c r="E27" s="7">
        <v>11201</v>
      </c>
      <c r="G27" s="6">
        <v>2024</v>
      </c>
      <c r="H27" s="7">
        <v>52586</v>
      </c>
      <c r="J27" s="6">
        <v>2024</v>
      </c>
      <c r="K27" s="7">
        <v>160277</v>
      </c>
      <c r="M27" s="6">
        <v>2024</v>
      </c>
      <c r="N27" s="8">
        <v>-3914</v>
      </c>
      <c r="P27" s="6">
        <v>2024</v>
      </c>
      <c r="Q27" s="13" t="s">
        <v>48</v>
      </c>
      <c r="R27" s="13" t="s">
        <v>49</v>
      </c>
      <c r="S27" s="14">
        <v>-2.9899999999999999E-2</v>
      </c>
      <c r="U27" s="6">
        <v>2024</v>
      </c>
      <c r="V27" s="13" t="s">
        <v>48</v>
      </c>
      <c r="W27" s="13" t="s">
        <v>16</v>
      </c>
      <c r="X27" s="14">
        <v>-0.17849999999999999</v>
      </c>
    </row>
    <row r="29" spans="1:24" x14ac:dyDescent="0.3">
      <c r="A29" s="24" t="s">
        <v>69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25.2" customHeight="1" x14ac:dyDescent="0.3">
      <c r="A30" s="29" t="s">
        <v>145</v>
      </c>
      <c r="B30" s="29"/>
      <c r="C30" s="29"/>
      <c r="D30" s="29"/>
      <c r="F30" s="29" t="s">
        <v>146</v>
      </c>
      <c r="G30" s="29"/>
      <c r="H30" s="29"/>
      <c r="I30" s="29"/>
      <c r="K30" s="29" t="s">
        <v>147</v>
      </c>
      <c r="L30" s="29"/>
      <c r="M30" s="29"/>
      <c r="N30" s="29"/>
      <c r="P30" s="29" t="s">
        <v>148</v>
      </c>
      <c r="Q30" s="29"/>
      <c r="R30" s="29"/>
      <c r="S30" s="29"/>
      <c r="U30" s="29" t="s">
        <v>149</v>
      </c>
      <c r="V30" s="29"/>
      <c r="W30" s="29"/>
      <c r="X30" s="29"/>
    </row>
    <row r="31" spans="1:24" ht="32.4" customHeight="1" x14ac:dyDescent="0.3">
      <c r="A31" s="12" t="s">
        <v>13</v>
      </c>
      <c r="B31" s="12" t="s">
        <v>205</v>
      </c>
      <c r="C31" s="12" t="s">
        <v>38</v>
      </c>
      <c r="D31" s="12" t="s">
        <v>106</v>
      </c>
      <c r="F31" s="12" t="s">
        <v>13</v>
      </c>
      <c r="G31" s="12" t="s">
        <v>205</v>
      </c>
      <c r="H31" s="12" t="s">
        <v>206</v>
      </c>
      <c r="I31" s="12" t="s">
        <v>11</v>
      </c>
      <c r="K31" s="12" t="s">
        <v>13</v>
      </c>
      <c r="L31" s="12" t="s">
        <v>70</v>
      </c>
      <c r="M31" s="12" t="s">
        <v>71</v>
      </c>
      <c r="N31" s="12" t="s">
        <v>72</v>
      </c>
      <c r="P31" s="12" t="s">
        <v>13</v>
      </c>
      <c r="Q31" s="12" t="s">
        <v>93</v>
      </c>
      <c r="R31" s="12" t="s">
        <v>71</v>
      </c>
      <c r="S31" s="12" t="s">
        <v>94</v>
      </c>
      <c r="U31" s="12" t="s">
        <v>13</v>
      </c>
      <c r="V31" s="12" t="s">
        <v>46</v>
      </c>
      <c r="W31" s="12" t="s">
        <v>14</v>
      </c>
      <c r="X31" s="12" t="s">
        <v>105</v>
      </c>
    </row>
    <row r="32" spans="1:24" x14ac:dyDescent="0.3">
      <c r="A32" s="6">
        <v>2015</v>
      </c>
      <c r="B32" s="13" t="s">
        <v>35</v>
      </c>
      <c r="C32" s="13" t="s">
        <v>116</v>
      </c>
      <c r="D32" s="14">
        <v>5.3100000000000001E-2</v>
      </c>
      <c r="F32" s="6">
        <v>2015</v>
      </c>
      <c r="G32" s="13" t="s">
        <v>133</v>
      </c>
      <c r="H32" s="13" t="s">
        <v>134</v>
      </c>
      <c r="I32" s="14">
        <v>0.47660000000000002</v>
      </c>
      <c r="K32" s="6">
        <v>2015</v>
      </c>
      <c r="L32" s="13" t="s">
        <v>91</v>
      </c>
      <c r="M32" s="13" t="s">
        <v>92</v>
      </c>
      <c r="N32" s="13">
        <v>1.35</v>
      </c>
      <c r="P32" s="6">
        <v>2015</v>
      </c>
      <c r="Q32" s="13" t="s">
        <v>104</v>
      </c>
      <c r="R32" s="13" t="s">
        <v>92</v>
      </c>
      <c r="S32" s="13">
        <v>0.42</v>
      </c>
      <c r="U32" s="6">
        <v>2015</v>
      </c>
      <c r="V32" s="10" t="s">
        <v>144</v>
      </c>
      <c r="W32" s="13" t="s">
        <v>36</v>
      </c>
      <c r="X32" s="15">
        <v>13.64</v>
      </c>
    </row>
    <row r="33" spans="1:24" x14ac:dyDescent="0.3">
      <c r="A33" s="6">
        <v>2016</v>
      </c>
      <c r="B33" s="13" t="s">
        <v>33</v>
      </c>
      <c r="C33" s="13" t="s">
        <v>115</v>
      </c>
      <c r="D33" s="14">
        <v>5.5899999999999998E-2</v>
      </c>
      <c r="F33" s="6">
        <v>2016</v>
      </c>
      <c r="G33" s="13" t="s">
        <v>132</v>
      </c>
      <c r="H33" s="13" t="s">
        <v>28</v>
      </c>
      <c r="I33" s="14">
        <v>0.57079999999999997</v>
      </c>
      <c r="K33" s="6">
        <v>2016</v>
      </c>
      <c r="L33" s="13" t="s">
        <v>89</v>
      </c>
      <c r="M33" s="13" t="s">
        <v>90</v>
      </c>
      <c r="N33" s="13">
        <v>1.25</v>
      </c>
      <c r="P33" s="6">
        <v>2016</v>
      </c>
      <c r="Q33" s="13" t="s">
        <v>103</v>
      </c>
      <c r="R33" s="13" t="s">
        <v>90</v>
      </c>
      <c r="S33" s="13">
        <v>0.39</v>
      </c>
      <c r="U33" s="6">
        <v>2016</v>
      </c>
      <c r="V33" s="10" t="s">
        <v>143</v>
      </c>
      <c r="W33" s="13" t="s">
        <v>34</v>
      </c>
      <c r="X33" s="15">
        <v>108.73</v>
      </c>
    </row>
    <row r="34" spans="1:24" x14ac:dyDescent="0.3">
      <c r="A34" s="6">
        <v>2017</v>
      </c>
      <c r="B34" s="13" t="s">
        <v>30</v>
      </c>
      <c r="C34" s="13" t="s">
        <v>114</v>
      </c>
      <c r="D34" s="14">
        <v>8.8300000000000003E-2</v>
      </c>
      <c r="F34" s="6">
        <v>2017</v>
      </c>
      <c r="G34" s="13" t="s">
        <v>130</v>
      </c>
      <c r="H34" s="13" t="s">
        <v>131</v>
      </c>
      <c r="I34" s="14">
        <v>1.0071000000000001</v>
      </c>
      <c r="K34" s="6">
        <v>2017</v>
      </c>
      <c r="L34" s="13" t="s">
        <v>87</v>
      </c>
      <c r="M34" s="13" t="s">
        <v>88</v>
      </c>
      <c r="N34" s="13">
        <v>1.1399999999999999</v>
      </c>
      <c r="P34" s="6">
        <v>2017</v>
      </c>
      <c r="Q34" s="13" t="s">
        <v>102</v>
      </c>
      <c r="R34" s="13" t="s">
        <v>88</v>
      </c>
      <c r="S34" s="13">
        <v>0.32</v>
      </c>
      <c r="U34" s="6">
        <v>2017</v>
      </c>
      <c r="V34" s="10" t="s">
        <v>142</v>
      </c>
      <c r="W34" s="13" t="s">
        <v>31</v>
      </c>
      <c r="X34" s="15">
        <v>57.2</v>
      </c>
    </row>
    <row r="35" spans="1:24" x14ac:dyDescent="0.3">
      <c r="A35" s="6">
        <v>2018</v>
      </c>
      <c r="B35" s="13" t="s">
        <v>28</v>
      </c>
      <c r="C35" s="13" t="s">
        <v>113</v>
      </c>
      <c r="D35" s="14">
        <v>9.11E-2</v>
      </c>
      <c r="F35" s="6">
        <v>2018</v>
      </c>
      <c r="G35" s="13" t="s">
        <v>128</v>
      </c>
      <c r="H35" s="13" t="s">
        <v>129</v>
      </c>
      <c r="I35" s="14">
        <v>1.1625000000000001</v>
      </c>
      <c r="K35" s="6">
        <v>2018</v>
      </c>
      <c r="L35" s="13" t="s">
        <v>85</v>
      </c>
      <c r="M35" s="13" t="s">
        <v>86</v>
      </c>
      <c r="N35" s="13">
        <v>1.08</v>
      </c>
      <c r="P35" s="6">
        <v>2018</v>
      </c>
      <c r="Q35" s="13" t="s">
        <v>101</v>
      </c>
      <c r="R35" s="13" t="s">
        <v>86</v>
      </c>
      <c r="S35" s="13">
        <v>0.31</v>
      </c>
      <c r="U35" s="6">
        <v>2018</v>
      </c>
      <c r="V35" s="10" t="s">
        <v>141</v>
      </c>
      <c r="W35" s="13" t="s">
        <v>29</v>
      </c>
      <c r="X35" s="15">
        <v>26</v>
      </c>
    </row>
    <row r="36" spans="1:24" x14ac:dyDescent="0.3">
      <c r="A36" s="6">
        <v>2019</v>
      </c>
      <c r="B36" s="13" t="s">
        <v>26</v>
      </c>
      <c r="C36" s="13" t="s">
        <v>112</v>
      </c>
      <c r="D36" s="14">
        <v>-5.0000000000000001E-3</v>
      </c>
      <c r="F36" s="6">
        <v>2019</v>
      </c>
      <c r="G36" s="13" t="s">
        <v>32</v>
      </c>
      <c r="H36" s="13" t="s">
        <v>127</v>
      </c>
      <c r="I36" s="14">
        <v>-0.15909999999999999</v>
      </c>
      <c r="K36" s="6">
        <v>2019</v>
      </c>
      <c r="L36" s="13" t="s">
        <v>83</v>
      </c>
      <c r="M36" s="13" t="s">
        <v>84</v>
      </c>
      <c r="N36" s="13">
        <v>1.05</v>
      </c>
      <c r="P36" s="6">
        <v>2019</v>
      </c>
      <c r="Q36" s="13" t="s">
        <v>100</v>
      </c>
      <c r="R36" s="13" t="s">
        <v>84</v>
      </c>
      <c r="S36" s="13">
        <v>0.26</v>
      </c>
      <c r="U36" s="6">
        <v>2019</v>
      </c>
      <c r="V36" s="10" t="s">
        <v>140</v>
      </c>
      <c r="W36" s="13" t="s">
        <v>27</v>
      </c>
      <c r="X36" s="15">
        <v>-2.4</v>
      </c>
    </row>
    <row r="37" spans="1:24" x14ac:dyDescent="0.3">
      <c r="A37" s="6">
        <v>2020</v>
      </c>
      <c r="B37" s="13" t="s">
        <v>24</v>
      </c>
      <c r="C37" s="13" t="s">
        <v>111</v>
      </c>
      <c r="D37" s="14">
        <v>-7.6700000000000004E-2</v>
      </c>
      <c r="F37" s="6">
        <v>2020</v>
      </c>
      <c r="G37" s="13" t="s">
        <v>125</v>
      </c>
      <c r="H37" s="13" t="s">
        <v>126</v>
      </c>
      <c r="I37" s="14">
        <v>-0.31709999999999999</v>
      </c>
      <c r="K37" s="6">
        <v>2020</v>
      </c>
      <c r="L37" s="13" t="s">
        <v>81</v>
      </c>
      <c r="M37" s="13" t="s">
        <v>82</v>
      </c>
      <c r="N37" s="13">
        <v>1.39</v>
      </c>
      <c r="P37" s="6">
        <v>2020</v>
      </c>
      <c r="Q37" s="13" t="s">
        <v>99</v>
      </c>
      <c r="R37" s="13" t="s">
        <v>82</v>
      </c>
      <c r="S37" s="13">
        <v>0.46</v>
      </c>
      <c r="U37" s="6">
        <v>2020</v>
      </c>
      <c r="V37" s="10" t="s">
        <v>139</v>
      </c>
      <c r="W37" s="13" t="s">
        <v>25</v>
      </c>
      <c r="X37" s="15">
        <v>-3.42</v>
      </c>
    </row>
    <row r="38" spans="1:24" x14ac:dyDescent="0.3">
      <c r="A38" s="6">
        <v>2021</v>
      </c>
      <c r="B38" s="13" t="s">
        <v>22</v>
      </c>
      <c r="C38" s="13" t="s">
        <v>110</v>
      </c>
      <c r="D38" s="14">
        <v>-2.8799999999999999E-2</v>
      </c>
      <c r="F38" s="6">
        <v>2021</v>
      </c>
      <c r="G38" s="13" t="s">
        <v>123</v>
      </c>
      <c r="H38" s="13" t="s">
        <v>124</v>
      </c>
      <c r="I38" s="14">
        <v>-6.9599999999999995E-2</v>
      </c>
      <c r="K38" s="6">
        <v>2021</v>
      </c>
      <c r="L38" s="13" t="s">
        <v>79</v>
      </c>
      <c r="M38" s="13" t="s">
        <v>80</v>
      </c>
      <c r="N38" s="13">
        <v>1.33</v>
      </c>
      <c r="P38" s="6">
        <v>2021</v>
      </c>
      <c r="Q38" s="13" t="s">
        <v>98</v>
      </c>
      <c r="R38" s="13" t="s">
        <v>80</v>
      </c>
      <c r="S38" s="13">
        <v>0.36</v>
      </c>
      <c r="U38" s="6">
        <v>2021</v>
      </c>
      <c r="V38" s="10" t="s">
        <v>138</v>
      </c>
      <c r="W38" s="13" t="s">
        <v>23</v>
      </c>
      <c r="X38" s="15">
        <v>-3.83</v>
      </c>
    </row>
    <row r="39" spans="1:24" x14ac:dyDescent="0.3">
      <c r="A39" s="6">
        <v>2022</v>
      </c>
      <c r="B39" s="13" t="s">
        <v>20</v>
      </c>
      <c r="C39" s="13" t="s">
        <v>109</v>
      </c>
      <c r="D39" s="14">
        <v>-3.6200000000000003E-2</v>
      </c>
      <c r="F39" s="6">
        <v>2022</v>
      </c>
      <c r="G39" s="13" t="s">
        <v>121</v>
      </c>
      <c r="H39" s="13" t="s">
        <v>122</v>
      </c>
      <c r="I39" s="14">
        <v>-9.5799999999999996E-2</v>
      </c>
      <c r="K39" s="6">
        <v>2022</v>
      </c>
      <c r="L39" s="13" t="s">
        <v>77</v>
      </c>
      <c r="M39" s="13" t="s">
        <v>78</v>
      </c>
      <c r="N39" s="13">
        <v>1.22</v>
      </c>
      <c r="P39" s="6">
        <v>2022</v>
      </c>
      <c r="Q39" s="13" t="s">
        <v>97</v>
      </c>
      <c r="R39" s="13" t="s">
        <v>78</v>
      </c>
      <c r="S39" s="13">
        <v>0.35</v>
      </c>
      <c r="U39" s="6">
        <v>2022</v>
      </c>
      <c r="V39" s="10" t="s">
        <v>137</v>
      </c>
      <c r="W39" s="13" t="s">
        <v>21</v>
      </c>
      <c r="X39" s="15">
        <v>-3.27</v>
      </c>
    </row>
    <row r="40" spans="1:24" x14ac:dyDescent="0.3">
      <c r="A40" s="6">
        <v>2023</v>
      </c>
      <c r="B40" s="13" t="s">
        <v>18</v>
      </c>
      <c r="C40" s="13" t="s">
        <v>108</v>
      </c>
      <c r="D40" s="14">
        <v>-1.6400000000000001E-2</v>
      </c>
      <c r="F40" s="6">
        <v>2023</v>
      </c>
      <c r="G40" s="13" t="s">
        <v>119</v>
      </c>
      <c r="H40" s="13" t="s">
        <v>120</v>
      </c>
      <c r="I40" s="14">
        <v>-2.4799999999999999E-2</v>
      </c>
      <c r="K40" s="6">
        <v>2023</v>
      </c>
      <c r="L40" s="13" t="s">
        <v>75</v>
      </c>
      <c r="M40" s="13" t="s">
        <v>76</v>
      </c>
      <c r="N40" s="13">
        <v>1.1399999999999999</v>
      </c>
      <c r="P40" s="6">
        <v>2023</v>
      </c>
      <c r="Q40" s="13" t="s">
        <v>96</v>
      </c>
      <c r="R40" s="13" t="s">
        <v>76</v>
      </c>
      <c r="S40" s="13">
        <v>0.31</v>
      </c>
      <c r="U40" s="6">
        <v>2023</v>
      </c>
      <c r="V40" s="10" t="s">
        <v>136</v>
      </c>
      <c r="W40" s="13" t="s">
        <v>19</v>
      </c>
      <c r="X40" s="15">
        <v>-2.73</v>
      </c>
    </row>
    <row r="41" spans="1:24" x14ac:dyDescent="0.3">
      <c r="A41" s="6">
        <v>2024</v>
      </c>
      <c r="B41" s="13" t="s">
        <v>16</v>
      </c>
      <c r="C41" s="13" t="s">
        <v>107</v>
      </c>
      <c r="D41" s="14">
        <v>-8.3099999999999993E-2</v>
      </c>
      <c r="F41" s="6">
        <v>2024</v>
      </c>
      <c r="G41" s="13" t="s">
        <v>117</v>
      </c>
      <c r="H41" s="13" t="s">
        <v>118</v>
      </c>
      <c r="I41" s="14">
        <v>-0.29880000000000001</v>
      </c>
      <c r="K41" s="6">
        <v>2024</v>
      </c>
      <c r="L41" s="13" t="s">
        <v>73</v>
      </c>
      <c r="M41" s="13" t="s">
        <v>74</v>
      </c>
      <c r="N41" s="13">
        <v>1.32</v>
      </c>
      <c r="P41" s="6">
        <v>2024</v>
      </c>
      <c r="Q41" s="13" t="s">
        <v>95</v>
      </c>
      <c r="R41" s="13" t="s">
        <v>74</v>
      </c>
      <c r="S41" s="13">
        <v>0.42</v>
      </c>
      <c r="U41" s="6">
        <v>2024</v>
      </c>
      <c r="V41" s="10" t="s">
        <v>135</v>
      </c>
      <c r="W41" s="13" t="s">
        <v>17</v>
      </c>
      <c r="X41" s="15">
        <v>-13.45</v>
      </c>
    </row>
    <row r="42" spans="1:24" ht="13.2" customHeight="1" x14ac:dyDescent="0.3"/>
    <row r="43" spans="1:24" hidden="1" x14ac:dyDescent="0.3">
      <c r="A43" s="16"/>
      <c r="B43" s="17"/>
      <c r="C43" s="17"/>
      <c r="D43" s="18"/>
      <c r="F43" s="16"/>
      <c r="G43" s="17"/>
      <c r="H43" s="17"/>
      <c r="I43" s="18"/>
    </row>
    <row r="44" spans="1:24" ht="24.6" customHeight="1" x14ac:dyDescent="0.3">
      <c r="A44" s="29" t="s">
        <v>150</v>
      </c>
      <c r="B44" s="29"/>
      <c r="C44" s="29"/>
      <c r="D44" s="29"/>
      <c r="F44" s="29" t="s">
        <v>151</v>
      </c>
      <c r="G44" s="29"/>
      <c r="H44" s="29"/>
      <c r="I44" s="29"/>
      <c r="K44" s="26" t="s">
        <v>164</v>
      </c>
      <c r="L44" s="26"/>
      <c r="M44" s="26"/>
      <c r="N44" s="26"/>
      <c r="P44" s="26" t="s">
        <v>169</v>
      </c>
      <c r="Q44" s="26"/>
      <c r="R44" s="26"/>
      <c r="S44" s="26"/>
    </row>
    <row r="45" spans="1:24" ht="35.4" customHeight="1" x14ac:dyDescent="0.3">
      <c r="A45" s="12" t="s">
        <v>13</v>
      </c>
      <c r="B45" s="12" t="s">
        <v>46</v>
      </c>
      <c r="C45" s="12" t="s">
        <v>38</v>
      </c>
      <c r="D45" s="12" t="s">
        <v>12</v>
      </c>
      <c r="F45" s="12" t="s">
        <v>13</v>
      </c>
      <c r="G45" s="12" t="s">
        <v>205</v>
      </c>
      <c r="H45" s="12" t="s">
        <v>14</v>
      </c>
      <c r="I45" s="12" t="s">
        <v>15</v>
      </c>
      <c r="K45" s="12" t="s">
        <v>13</v>
      </c>
      <c r="L45" s="12" t="s">
        <v>165</v>
      </c>
      <c r="M45" s="12" t="s">
        <v>45</v>
      </c>
      <c r="N45" s="12" t="s">
        <v>164</v>
      </c>
      <c r="P45" s="12" t="s">
        <v>13</v>
      </c>
      <c r="Q45" s="12" t="s">
        <v>44</v>
      </c>
      <c r="R45" s="12" t="s">
        <v>37</v>
      </c>
      <c r="S45" s="12" t="s">
        <v>169</v>
      </c>
    </row>
    <row r="46" spans="1:24" ht="15" customHeight="1" x14ac:dyDescent="0.3">
      <c r="A46" s="6">
        <v>2015</v>
      </c>
      <c r="B46" s="10" t="s">
        <v>171</v>
      </c>
      <c r="C46" s="13" t="s">
        <v>116</v>
      </c>
      <c r="D46" s="15">
        <v>0.09</v>
      </c>
      <c r="F46" s="6">
        <v>2015</v>
      </c>
      <c r="G46" s="13" t="s">
        <v>35</v>
      </c>
      <c r="H46" s="13" t="s">
        <v>36</v>
      </c>
      <c r="I46" s="15">
        <v>0.81</v>
      </c>
      <c r="K46" s="6">
        <v>2015</v>
      </c>
      <c r="L46" s="10" t="s">
        <v>181</v>
      </c>
      <c r="M46" s="10" t="s">
        <v>190</v>
      </c>
      <c r="N46" s="11">
        <v>1.735700531</v>
      </c>
      <c r="P46" s="6">
        <v>2015</v>
      </c>
      <c r="Q46" s="10" t="s">
        <v>199</v>
      </c>
      <c r="R46" s="13" t="s">
        <v>66</v>
      </c>
      <c r="S46" s="11">
        <v>33.89</v>
      </c>
      <c r="U46" s="4"/>
      <c r="V46" s="19"/>
    </row>
    <row r="47" spans="1:24" x14ac:dyDescent="0.3">
      <c r="A47" s="6">
        <v>2016</v>
      </c>
      <c r="B47" s="10" t="s">
        <v>173</v>
      </c>
      <c r="C47" s="13" t="s">
        <v>115</v>
      </c>
      <c r="D47" s="15">
        <v>0.11</v>
      </c>
      <c r="F47" s="6">
        <v>2016</v>
      </c>
      <c r="G47" s="13" t="s">
        <v>33</v>
      </c>
      <c r="H47" s="13" t="s">
        <v>34</v>
      </c>
      <c r="I47" s="15">
        <v>5.72</v>
      </c>
      <c r="K47" s="6">
        <v>2016</v>
      </c>
      <c r="L47" s="10" t="s">
        <v>180</v>
      </c>
      <c r="M47" s="10" t="s">
        <v>189</v>
      </c>
      <c r="N47" s="11">
        <v>1.827982129</v>
      </c>
      <c r="P47" s="6">
        <v>2016</v>
      </c>
      <c r="Q47" s="10" t="s">
        <v>170</v>
      </c>
      <c r="R47" s="13" t="s">
        <v>64</v>
      </c>
      <c r="S47" s="11">
        <v>36.15</v>
      </c>
      <c r="U47" s="4"/>
      <c r="V47" s="19"/>
    </row>
    <row r="48" spans="1:24" x14ac:dyDescent="0.3">
      <c r="A48" s="6">
        <v>2017</v>
      </c>
      <c r="B48" s="10" t="s">
        <v>172</v>
      </c>
      <c r="C48" s="13" t="s">
        <v>114</v>
      </c>
      <c r="D48" s="15">
        <v>0.09</v>
      </c>
      <c r="F48" s="6">
        <v>2017</v>
      </c>
      <c r="G48" s="13" t="s">
        <v>30</v>
      </c>
      <c r="H48" s="13" t="s">
        <v>31</v>
      </c>
      <c r="I48" s="15">
        <v>4.9400000000000004</v>
      </c>
      <c r="K48" s="6">
        <v>2017</v>
      </c>
      <c r="L48" s="10" t="s">
        <v>179</v>
      </c>
      <c r="M48" s="10" t="s">
        <v>188</v>
      </c>
      <c r="N48" s="11">
        <v>1.2468560630000001</v>
      </c>
      <c r="P48" s="6">
        <v>2017</v>
      </c>
      <c r="Q48" s="10" t="s">
        <v>198</v>
      </c>
      <c r="R48" s="13" t="s">
        <v>62</v>
      </c>
      <c r="S48" s="11">
        <v>44.25</v>
      </c>
      <c r="U48" s="4"/>
      <c r="V48" s="19"/>
    </row>
    <row r="49" spans="1:22" x14ac:dyDescent="0.3">
      <c r="A49" s="6">
        <v>2018</v>
      </c>
      <c r="B49" s="10" t="s">
        <v>141</v>
      </c>
      <c r="C49" s="13" t="s">
        <v>113</v>
      </c>
      <c r="D49" s="15">
        <v>0.09</v>
      </c>
      <c r="F49" s="6">
        <v>2018</v>
      </c>
      <c r="G49" s="13" t="s">
        <v>28</v>
      </c>
      <c r="H49" s="13" t="s">
        <v>29</v>
      </c>
      <c r="I49" s="15">
        <v>25.49</v>
      </c>
      <c r="K49" s="6">
        <v>2018</v>
      </c>
      <c r="L49" s="10" t="s">
        <v>178</v>
      </c>
      <c r="M49" s="10" t="s">
        <v>187</v>
      </c>
      <c r="N49" s="11">
        <v>1.301340962</v>
      </c>
      <c r="P49" s="6">
        <v>2018</v>
      </c>
      <c r="Q49" s="10" t="s">
        <v>197</v>
      </c>
      <c r="R49" s="13" t="s">
        <v>60</v>
      </c>
      <c r="S49" s="11">
        <v>51.84</v>
      </c>
      <c r="T49" s="5"/>
      <c r="U49" s="4"/>
      <c r="V49" s="19"/>
    </row>
    <row r="50" spans="1:22" x14ac:dyDescent="0.3">
      <c r="A50" s="6">
        <v>2019</v>
      </c>
      <c r="B50" s="10" t="s">
        <v>140</v>
      </c>
      <c r="C50" s="13" t="s">
        <v>112</v>
      </c>
      <c r="D50" s="15">
        <v>0.15</v>
      </c>
      <c r="F50" s="6">
        <v>2019</v>
      </c>
      <c r="G50" s="13" t="s">
        <v>26</v>
      </c>
      <c r="H50" s="13" t="s">
        <v>27</v>
      </c>
      <c r="I50" s="15">
        <v>0.08</v>
      </c>
      <c r="K50" s="6">
        <v>2019</v>
      </c>
      <c r="L50" s="10" t="s">
        <v>177</v>
      </c>
      <c r="M50" s="10" t="s">
        <v>186</v>
      </c>
      <c r="N50" s="11">
        <v>0.94008248299999997</v>
      </c>
      <c r="P50" s="6">
        <v>2019</v>
      </c>
      <c r="Q50" s="10" t="s">
        <v>196</v>
      </c>
      <c r="R50" s="13" t="s">
        <v>58</v>
      </c>
      <c r="S50" s="11">
        <v>59.46</v>
      </c>
      <c r="T50" s="5"/>
      <c r="U50" s="4"/>
      <c r="V50" s="19"/>
    </row>
    <row r="51" spans="1:22" x14ac:dyDescent="0.3">
      <c r="A51" s="6">
        <v>2020</v>
      </c>
      <c r="B51" s="10" t="s">
        <v>139</v>
      </c>
      <c r="C51" s="13" t="s">
        <v>111</v>
      </c>
      <c r="D51" s="15">
        <v>0.41</v>
      </c>
      <c r="F51" s="6">
        <v>2020</v>
      </c>
      <c r="G51" s="13" t="s">
        <v>24</v>
      </c>
      <c r="H51" s="13" t="s">
        <v>25</v>
      </c>
      <c r="I51" s="15">
        <v>0.66</v>
      </c>
      <c r="K51" s="6">
        <v>2020</v>
      </c>
      <c r="L51" s="10" t="s">
        <v>167</v>
      </c>
      <c r="M51" s="10" t="s">
        <v>185</v>
      </c>
      <c r="N51" s="11">
        <v>0.78076240600000002</v>
      </c>
      <c r="P51" s="6">
        <v>2020</v>
      </c>
      <c r="Q51" s="10" t="s">
        <v>195</v>
      </c>
      <c r="R51" s="13" t="s">
        <v>56</v>
      </c>
      <c r="S51" s="11">
        <v>63.08</v>
      </c>
      <c r="T51" s="5"/>
      <c r="U51" s="4"/>
      <c r="V51" s="19"/>
    </row>
    <row r="52" spans="1:22" x14ac:dyDescent="0.3">
      <c r="A52" s="6">
        <v>2021</v>
      </c>
      <c r="B52" s="10" t="s">
        <v>138</v>
      </c>
      <c r="C52" s="13" t="s">
        <v>110</v>
      </c>
      <c r="D52" s="15">
        <v>0.41</v>
      </c>
      <c r="F52" s="6">
        <v>2021</v>
      </c>
      <c r="G52" s="13" t="s">
        <v>22</v>
      </c>
      <c r="H52" s="13" t="s">
        <v>23</v>
      </c>
      <c r="I52" s="15">
        <v>0.28000000000000003</v>
      </c>
      <c r="K52" s="6">
        <v>2021</v>
      </c>
      <c r="L52" s="10" t="s">
        <v>176</v>
      </c>
      <c r="M52" s="10" t="s">
        <v>184</v>
      </c>
      <c r="N52" s="11">
        <v>0.75151922699999996</v>
      </c>
      <c r="P52" s="6">
        <v>2021</v>
      </c>
      <c r="Q52" s="10" t="s">
        <v>194</v>
      </c>
      <c r="R52" s="13" t="s">
        <v>54</v>
      </c>
      <c r="S52" s="11">
        <v>66.67</v>
      </c>
      <c r="T52" s="5"/>
      <c r="U52" s="4"/>
      <c r="V52" s="19"/>
    </row>
    <row r="53" spans="1:22" x14ac:dyDescent="0.3">
      <c r="A53" s="6">
        <v>2022</v>
      </c>
      <c r="B53" s="10" t="s">
        <v>137</v>
      </c>
      <c r="C53" s="13" t="s">
        <v>109</v>
      </c>
      <c r="D53" s="15">
        <v>0.38</v>
      </c>
      <c r="F53" s="6">
        <v>2022</v>
      </c>
      <c r="G53" s="13" t="s">
        <v>20</v>
      </c>
      <c r="H53" s="13" t="s">
        <v>21</v>
      </c>
      <c r="I53" s="15">
        <v>0.31</v>
      </c>
      <c r="K53" s="6">
        <v>2022</v>
      </c>
      <c r="L53" s="10" t="s">
        <v>175</v>
      </c>
      <c r="M53" s="10" t="s">
        <v>183</v>
      </c>
      <c r="N53" s="11">
        <v>0.80712978700000004</v>
      </c>
      <c r="P53" s="6">
        <v>2022</v>
      </c>
      <c r="Q53" s="10" t="s">
        <v>192</v>
      </c>
      <c r="R53" s="13" t="s">
        <v>52</v>
      </c>
      <c r="S53" s="11">
        <v>61.95</v>
      </c>
      <c r="T53" s="5"/>
      <c r="U53" s="4"/>
      <c r="V53" s="19"/>
    </row>
    <row r="54" spans="1:22" x14ac:dyDescent="0.3">
      <c r="A54" s="6">
        <v>2023</v>
      </c>
      <c r="B54" s="10" t="s">
        <v>136</v>
      </c>
      <c r="C54" s="13" t="s">
        <v>108</v>
      </c>
      <c r="D54" s="15">
        <v>0.34</v>
      </c>
      <c r="F54" s="6">
        <v>2023</v>
      </c>
      <c r="G54" s="13" t="s">
        <v>18</v>
      </c>
      <c r="H54" s="13" t="s">
        <v>19</v>
      </c>
      <c r="I54" s="15">
        <v>0.13</v>
      </c>
      <c r="K54" s="6">
        <v>2023</v>
      </c>
      <c r="L54" s="10" t="s">
        <v>166</v>
      </c>
      <c r="M54" s="10" t="s">
        <v>182</v>
      </c>
      <c r="N54" s="11">
        <v>0.87871985600000002</v>
      </c>
      <c r="P54" s="6">
        <v>2023</v>
      </c>
      <c r="Q54" s="10" t="s">
        <v>193</v>
      </c>
      <c r="R54" s="13" t="s">
        <v>50</v>
      </c>
      <c r="S54" s="11">
        <v>51.92</v>
      </c>
      <c r="T54" s="5"/>
      <c r="U54" s="4"/>
      <c r="V54" s="19"/>
    </row>
    <row r="55" spans="1:22" x14ac:dyDescent="0.3">
      <c r="A55" s="6">
        <v>2024</v>
      </c>
      <c r="B55" s="10" t="s">
        <v>135</v>
      </c>
      <c r="C55" s="13" t="s">
        <v>107</v>
      </c>
      <c r="D55" s="15">
        <v>0.34</v>
      </c>
      <c r="F55" s="6">
        <v>2024</v>
      </c>
      <c r="G55" s="13" t="s">
        <v>16</v>
      </c>
      <c r="H55" s="13" t="s">
        <v>17</v>
      </c>
      <c r="I55" s="15">
        <v>3.04</v>
      </c>
      <c r="K55" s="6">
        <v>2024</v>
      </c>
      <c r="L55" s="10" t="s">
        <v>174</v>
      </c>
      <c r="M55" s="10" t="s">
        <v>168</v>
      </c>
      <c r="N55" s="11">
        <v>0.782501428</v>
      </c>
      <c r="P55" s="6">
        <v>2024</v>
      </c>
      <c r="Q55" s="10" t="s">
        <v>191</v>
      </c>
      <c r="R55" s="13" t="s">
        <v>48</v>
      </c>
      <c r="S55" s="11">
        <v>61.46</v>
      </c>
      <c r="T55" s="5"/>
      <c r="U55" s="4"/>
      <c r="V55" s="19"/>
    </row>
    <row r="56" spans="1:22" x14ac:dyDescent="0.3">
      <c r="S56" s="5"/>
      <c r="T56" s="5"/>
    </row>
    <row r="57" spans="1:22" x14ac:dyDescent="0.3">
      <c r="S57" s="5"/>
      <c r="T57" s="5"/>
    </row>
    <row r="58" spans="1:22" x14ac:dyDescent="0.3">
      <c r="S58" s="5"/>
      <c r="T58" s="5"/>
    </row>
    <row r="60" spans="1:22" x14ac:dyDescent="0.3">
      <c r="E60" s="4"/>
      <c r="F60" s="17"/>
      <c r="G60" s="17"/>
      <c r="H60" s="20"/>
    </row>
    <row r="61" spans="1:22" ht="20.399999999999999" customHeight="1" x14ac:dyDescent="0.3">
      <c r="E61" s="4"/>
      <c r="F61" s="17"/>
      <c r="G61" s="17"/>
      <c r="H61" s="20"/>
      <c r="K61" s="30"/>
      <c r="L61" s="30"/>
    </row>
    <row r="62" spans="1:22" x14ac:dyDescent="0.3">
      <c r="E62" s="4"/>
      <c r="F62" s="17"/>
      <c r="G62" s="17"/>
      <c r="H62" s="20"/>
      <c r="K62" s="30"/>
      <c r="L62" s="30"/>
      <c r="Q62" s="22"/>
    </row>
    <row r="63" spans="1:22" x14ac:dyDescent="0.3">
      <c r="E63" s="4"/>
      <c r="F63" s="17"/>
      <c r="G63" s="17"/>
      <c r="H63" s="20"/>
      <c r="K63" s="2"/>
      <c r="N63" s="3"/>
      <c r="Q63" s="22"/>
    </row>
    <row r="64" spans="1:22" x14ac:dyDescent="0.3">
      <c r="E64" s="4"/>
      <c r="F64" s="17"/>
      <c r="G64" s="17"/>
      <c r="H64" s="20"/>
      <c r="K64" s="2"/>
      <c r="N64" s="3"/>
      <c r="Q64" s="22"/>
    </row>
    <row r="65" spans="5:17" x14ac:dyDescent="0.3">
      <c r="E65" s="4"/>
      <c r="F65" s="17"/>
      <c r="G65" s="17"/>
      <c r="H65" s="20"/>
      <c r="K65" s="2"/>
      <c r="N65" s="3"/>
      <c r="Q65" s="22"/>
    </row>
    <row r="66" spans="5:17" x14ac:dyDescent="0.3">
      <c r="E66" s="4"/>
      <c r="F66" s="17"/>
      <c r="G66" s="17"/>
      <c r="H66" s="20"/>
      <c r="K66" s="2"/>
      <c r="N66" s="3"/>
      <c r="Q66" s="22"/>
    </row>
    <row r="67" spans="5:17" x14ac:dyDescent="0.3">
      <c r="E67" s="4"/>
      <c r="F67" s="17"/>
      <c r="G67" s="17"/>
      <c r="H67" s="20"/>
      <c r="K67" s="2"/>
      <c r="N67" s="3"/>
      <c r="Q67" s="22"/>
    </row>
    <row r="68" spans="5:17" x14ac:dyDescent="0.3">
      <c r="E68" s="4"/>
      <c r="F68" s="17"/>
      <c r="G68" s="17"/>
      <c r="H68" s="20"/>
      <c r="K68" s="2"/>
      <c r="N68" s="3"/>
      <c r="Q68" s="22"/>
    </row>
    <row r="69" spans="5:17" x14ac:dyDescent="0.3">
      <c r="E69" s="4"/>
      <c r="F69" s="17"/>
      <c r="G69" s="17"/>
      <c r="H69" s="20"/>
      <c r="K69" s="2"/>
      <c r="N69" s="3"/>
      <c r="Q69" s="22"/>
    </row>
    <row r="70" spans="5:17" x14ac:dyDescent="0.3">
      <c r="K70" s="2"/>
      <c r="N70" s="3"/>
      <c r="Q70" s="22"/>
    </row>
    <row r="71" spans="5:17" x14ac:dyDescent="0.3">
      <c r="K71" s="2"/>
      <c r="N71" s="3"/>
      <c r="Q71" s="22"/>
    </row>
    <row r="72" spans="5:17" x14ac:dyDescent="0.3">
      <c r="K72" s="2"/>
      <c r="N72" s="3"/>
      <c r="Q72" s="22"/>
    </row>
    <row r="73" spans="5:17" x14ac:dyDescent="0.3">
      <c r="Q73" s="22"/>
    </row>
  </sheetData>
  <autoFilter ref="A29:X41" xr:uid="{9014BE3D-F69A-42EA-AA7C-F339BC5F9A24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sortState xmlns:xlrd2="http://schemas.microsoft.com/office/spreadsheetml/2017/richdata2" ref="U18:X27">
    <sortCondition ref="U18:U27"/>
  </sortState>
  <mergeCells count="42">
    <mergeCell ref="G3:H3"/>
    <mergeCell ref="K61:L61"/>
    <mergeCell ref="K62:L62"/>
    <mergeCell ref="M17:N17"/>
    <mergeCell ref="U16:X16"/>
    <mergeCell ref="K30:N30"/>
    <mergeCell ref="P30:S30"/>
    <mergeCell ref="U30:X30"/>
    <mergeCell ref="J16:K16"/>
    <mergeCell ref="J17:K17"/>
    <mergeCell ref="M16:N16"/>
    <mergeCell ref="K44:N44"/>
    <mergeCell ref="P44:S44"/>
    <mergeCell ref="P15:X15"/>
    <mergeCell ref="A15:N15"/>
    <mergeCell ref="P16:S16"/>
    <mergeCell ref="F44:I44"/>
    <mergeCell ref="A30:D30"/>
    <mergeCell ref="F30:I30"/>
    <mergeCell ref="A44:D44"/>
    <mergeCell ref="A17:B17"/>
    <mergeCell ref="D16:E16"/>
    <mergeCell ref="D17:E17"/>
    <mergeCell ref="G16:H16"/>
    <mergeCell ref="G17:H17"/>
    <mergeCell ref="A16:B16"/>
    <mergeCell ref="A1:W1"/>
    <mergeCell ref="A29:X29"/>
    <mergeCell ref="S2:T2"/>
    <mergeCell ref="S3:T3"/>
    <mergeCell ref="V2:W2"/>
    <mergeCell ref="V3:W3"/>
    <mergeCell ref="J2:K2"/>
    <mergeCell ref="J3:K3"/>
    <mergeCell ref="M2:N2"/>
    <mergeCell ref="P2:Q2"/>
    <mergeCell ref="P3:Q3"/>
    <mergeCell ref="A2:B2"/>
    <mergeCell ref="A3:B3"/>
    <mergeCell ref="D2:E2"/>
    <mergeCell ref="D3:E3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DD99-EF48-4565-9531-A697F84DC74E}">
  <dimension ref="A1"/>
  <sheetViews>
    <sheetView topLeftCell="A27" workbookViewId="0">
      <selection activeCell="I36" sqref="I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5CD7-514D-45F3-A9C5-300421B6D158}">
  <dimension ref="A1:B18"/>
  <sheetViews>
    <sheetView workbookViewId="0">
      <selection activeCell="D24" sqref="D24"/>
    </sheetView>
  </sheetViews>
  <sheetFormatPr defaultRowHeight="14.4" x14ac:dyDescent="0.3"/>
  <cols>
    <col min="2" max="2" width="19.6640625" customWidth="1"/>
  </cols>
  <sheetData>
    <row r="1" spans="1:2" x14ac:dyDescent="0.3">
      <c r="A1" t="s">
        <v>207</v>
      </c>
    </row>
    <row r="4" spans="1:2" x14ac:dyDescent="0.3">
      <c r="A4" s="31" t="s">
        <v>0</v>
      </c>
      <c r="B4" s="31" t="s">
        <v>10</v>
      </c>
    </row>
    <row r="5" spans="1:2" x14ac:dyDescent="0.3">
      <c r="A5" s="31">
        <v>2024</v>
      </c>
      <c r="B5" s="32" t="s">
        <v>1</v>
      </c>
    </row>
    <row r="6" spans="1:2" x14ac:dyDescent="0.3">
      <c r="A6" s="31">
        <v>2023</v>
      </c>
      <c r="B6" s="32" t="s">
        <v>2</v>
      </c>
    </row>
    <row r="7" spans="1:2" x14ac:dyDescent="0.3">
      <c r="A7" s="31">
        <v>2022</v>
      </c>
      <c r="B7" s="32" t="s">
        <v>3</v>
      </c>
    </row>
    <row r="8" spans="1:2" x14ac:dyDescent="0.3">
      <c r="A8" s="31">
        <v>2021</v>
      </c>
      <c r="B8" s="32" t="s">
        <v>4</v>
      </c>
    </row>
    <row r="9" spans="1:2" x14ac:dyDescent="0.3">
      <c r="A9" s="31">
        <v>2020</v>
      </c>
      <c r="B9" s="32" t="s">
        <v>5</v>
      </c>
    </row>
    <row r="10" spans="1:2" x14ac:dyDescent="0.3">
      <c r="A10" s="31">
        <v>2019</v>
      </c>
      <c r="B10" s="32" t="s">
        <v>6</v>
      </c>
    </row>
    <row r="11" spans="1:2" x14ac:dyDescent="0.3">
      <c r="A11" s="31">
        <v>2018</v>
      </c>
      <c r="B11" s="32" t="s">
        <v>7</v>
      </c>
    </row>
    <row r="12" spans="1:2" x14ac:dyDescent="0.3">
      <c r="A12" s="31">
        <v>2017</v>
      </c>
      <c r="B12" s="32" t="s">
        <v>8</v>
      </c>
    </row>
    <row r="13" spans="1:2" x14ac:dyDescent="0.3">
      <c r="A13" s="31">
        <v>2016</v>
      </c>
      <c r="B13" s="32" t="s">
        <v>9</v>
      </c>
    </row>
    <row r="14" spans="1:2" x14ac:dyDescent="0.3">
      <c r="A14" s="33">
        <v>2015</v>
      </c>
      <c r="B14" s="32" t="s">
        <v>208</v>
      </c>
    </row>
    <row r="17" spans="1:1" x14ac:dyDescent="0.3">
      <c r="A17" s="1"/>
    </row>
    <row r="18" spans="1:1" x14ac:dyDescent="0.3">
      <c r="A18" s="1"/>
    </row>
  </sheetData>
  <phoneticPr fontId="1" type="noConversion"/>
  <hyperlinks>
    <hyperlink ref="B5" r:id="rId1" display="Financial Report 2025" xr:uid="{C6DE7C56-500A-4855-967B-E86A8B456B70}"/>
    <hyperlink ref="B6" r:id="rId2" display="Financial Report 2024" xr:uid="{3A718113-560D-44A9-A87B-41B1F0A47442}"/>
    <hyperlink ref="B7" r:id="rId3" display="Financial Report 2023" xr:uid="{FD53ACD1-047D-4413-AB22-EC2F161A5381}"/>
    <hyperlink ref="B8" r:id="rId4" display="Financial Report 2022" xr:uid="{AC50D882-8EAA-4210-91C1-5F75BAB273E1}"/>
    <hyperlink ref="B9" r:id="rId5" display="Financial Report 2021" xr:uid="{262C5EDF-E15A-4B1E-9F1D-76041D6B9787}"/>
    <hyperlink ref="B10" r:id="rId6" display="Financial Report 2020" xr:uid="{523F98D0-FC21-4AC7-BFB1-86DDD8505413}"/>
    <hyperlink ref="B11" r:id="rId7" display="Financial Report 2019" xr:uid="{ADC77BD1-1E44-4386-AE2E-25C38AD8BD83}"/>
    <hyperlink ref="B12" r:id="rId8" display="Financial Report 2018" xr:uid="{7626C930-F3C2-4B61-B7CF-5AC55674241A}"/>
    <hyperlink ref="B13" r:id="rId9" display="Financial Report 2017" xr:uid="{0E4F6D7A-DBBC-4476-A34B-4D893FEC9B15}"/>
    <hyperlink ref="B14" r:id="rId10" display="Financial Report 2016" xr:uid="{9D913D56-7E20-47F5-84D5-FA32A13A17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Report</vt:lpstr>
      <vt:lpstr>Charts</vt:lpstr>
      <vt:lpstr>SEC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Krishnagiri Pachiyappan</dc:creator>
  <cp:lastModifiedBy>Karthik Krishnagiri Pachiyappan</cp:lastModifiedBy>
  <dcterms:created xsi:type="dcterms:W3CDTF">2025-03-14T00:40:45Z</dcterms:created>
  <dcterms:modified xsi:type="dcterms:W3CDTF">2025-03-14T15:04:57Z</dcterms:modified>
</cp:coreProperties>
</file>